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 textací" sheetId="1" r:id="rId5"/>
    <sheet state="visible" name="Přehled" sheetId="2" r:id="rId6"/>
  </sheets>
  <definedNames>
    <definedName hidden="1" localSheetId="0" name="_xlnm._FilterDatabase">'Evidence textací'!$A$1:$H$159</definedName>
  </definedNames>
  <calcPr/>
</workbook>
</file>

<file path=xl/sharedStrings.xml><?xml version="1.0" encoding="utf-8"?>
<sst xmlns="http://schemas.openxmlformats.org/spreadsheetml/2006/main" count="653" uniqueCount="178">
  <si>
    <t>Č.</t>
  </si>
  <si>
    <t>Přehled nasazení textací</t>
  </si>
  <si>
    <t>Úroveň</t>
  </si>
  <si>
    <t>Kategorie</t>
  </si>
  <si>
    <t>Podkategorie</t>
  </si>
  <si>
    <t>Celkem stránek</t>
  </si>
  <si>
    <t>Nahráno</t>
  </si>
  <si>
    <t>Datum nasazení</t>
  </si>
  <si>
    <t>Zkontroloval klient</t>
  </si>
  <si>
    <t>Poznámka</t>
  </si>
  <si>
    <t>Přívěsy</t>
  </si>
  <si>
    <t>NE</t>
  </si>
  <si>
    <t>Jednoosé valníky</t>
  </si>
  <si>
    <t>ANO</t>
  </si>
  <si>
    <t>Nahráno (ANO)</t>
  </si>
  <si>
    <t>Dvouosé valníky</t>
  </si>
  <si>
    <t>Zbývá (NE)</t>
  </si>
  <si>
    <t>Tříosé valníky</t>
  </si>
  <si>
    <t>Přepravníky motocyklů</t>
  </si>
  <si>
    <t>Hotovo %</t>
  </si>
  <si>
    <t>Přepravníky strojů</t>
  </si>
  <si>
    <t>Přepravníky automobilů</t>
  </si>
  <si>
    <t>Podle úrovně</t>
  </si>
  <si>
    <t>Sklopné přívěsy</t>
  </si>
  <si>
    <t>Celkem</t>
  </si>
  <si>
    <t>Přepravníky lodí a vodních skútrů</t>
  </si>
  <si>
    <t>Přepravníky zvířat</t>
  </si>
  <si>
    <t>Skříňové přívěsy</t>
  </si>
  <si>
    <t>Chladírenské přívěsy</t>
  </si>
  <si>
    <t>Agados</t>
  </si>
  <si>
    <t>STEMA</t>
  </si>
  <si>
    <t>UNSINN</t>
  </si>
  <si>
    <t>VAPP</t>
  </si>
  <si>
    <t>Výprodej</t>
  </si>
  <si>
    <t>Blatníky a zástěrky</t>
  </si>
  <si>
    <t>23.7.2026</t>
  </si>
  <si>
    <t>Blatníky</t>
  </si>
  <si>
    <t>17.6.2026</t>
  </si>
  <si>
    <t>Držáky blatníků</t>
  </si>
  <si>
    <t>Zástěrky a příslušenství</t>
  </si>
  <si>
    <t>Bočnice, uzávěry, panty</t>
  </si>
  <si>
    <t>Bočnice</t>
  </si>
  <si>
    <t>Sloupky bočnic</t>
  </si>
  <si>
    <t>Panty bočnic</t>
  </si>
  <si>
    <t>Přezky a uzávěry</t>
  </si>
  <si>
    <t>Lemování bočnic</t>
  </si>
  <si>
    <t>Boxy na nářadí a držáky boxů</t>
  </si>
  <si>
    <t>Boxy na nářadí</t>
  </si>
  <si>
    <t>Držáky boxů</t>
  </si>
  <si>
    <t>Náhradní díly boxů</t>
  </si>
  <si>
    <t>Doplňky k přívěsům</t>
  </si>
  <si>
    <t>Označení přívěsu</t>
  </si>
  <si>
    <t>Příslušenství k přívěsu</t>
  </si>
  <si>
    <t>Ostatní doplňky k přívěsům</t>
  </si>
  <si>
    <t>Elektro, svítilny, odrazky</t>
  </si>
  <si>
    <t>Baterie, nabíječky a příslušenství</t>
  </si>
  <si>
    <t>1.7.2026</t>
  </si>
  <si>
    <t>Blinkry</t>
  </si>
  <si>
    <t>Brzdové svítilny</t>
  </si>
  <si>
    <t>Couvačky a mlhovky</t>
  </si>
  <si>
    <t>Držáky svítilen a odrazek</t>
  </si>
  <si>
    <t>Kabely a kabeláže</t>
  </si>
  <si>
    <t>Majáky a výstražné svítilny</t>
  </si>
  <si>
    <t>Montážní materiál</t>
  </si>
  <si>
    <t>Obrysové svítilny</t>
  </si>
  <si>
    <t>Odrazky a odrazové desky</t>
  </si>
  <si>
    <t>Osvětlení registrační značky</t>
  </si>
  <si>
    <t>Pracovní světlomety</t>
  </si>
  <si>
    <t>10.7.2026</t>
  </si>
  <si>
    <t>Sdružené zadní svítilny</t>
  </si>
  <si>
    <t>Skla svítilen náhradní</t>
  </si>
  <si>
    <t>Vnitřní osvětlení</t>
  </si>
  <si>
    <t>Zásuvky, zástrčky, konektory</t>
  </si>
  <si>
    <t>Žárovky, náhradní LED moduly</t>
  </si>
  <si>
    <t>Hydraulika přívěsů</t>
  </si>
  <si>
    <t>Klíny a držáky</t>
  </si>
  <si>
    <t>Klíny na ložnou plochu</t>
  </si>
  <si>
    <t>Zakládací klíny a držáky</t>
  </si>
  <si>
    <t>Konstrukční díly</t>
  </si>
  <si>
    <t>Držáky motocyklů</t>
  </si>
  <si>
    <t>Držáky rezervního kola</t>
  </si>
  <si>
    <t>Oje a příslušenství</t>
  </si>
  <si>
    <t>Oje výškově stavitelné a díly</t>
  </si>
  <si>
    <t>Pojezdové plechy</t>
  </si>
  <si>
    <t>Překližky</t>
  </si>
  <si>
    <t>Rolny a opěry pro lodě</t>
  </si>
  <si>
    <t>Spojovací materiál</t>
  </si>
  <si>
    <t>Doplňky</t>
  </si>
  <si>
    <t>Díly rámů přívěsů VAPP</t>
  </si>
  <si>
    <t>Nájezdy</t>
  </si>
  <si>
    <t>Hliníkové nájezdy</t>
  </si>
  <si>
    <t>Ocelové nájezdy</t>
  </si>
  <si>
    <t>Příslušenství nájezdů</t>
  </si>
  <si>
    <t>Nájezdové brzdy a díly</t>
  </si>
  <si>
    <t>Brzdy na "V" oje</t>
  </si>
  <si>
    <t>Brzdy na jeklové oje</t>
  </si>
  <si>
    <t>Spojovací zařízení nájezdových brzd</t>
  </si>
  <si>
    <t>Lanka pojistná</t>
  </si>
  <si>
    <t>Tlumiče a příslušenství</t>
  </si>
  <si>
    <t>Tažné trubky a dorazové kroužky</t>
  </si>
  <si>
    <t>Pouzdra a maznice</t>
  </si>
  <si>
    <t>Manžety</t>
  </si>
  <si>
    <t>Ostatní díly na náj. brzdy</t>
  </si>
  <si>
    <t>Nápravy kompletní</t>
  </si>
  <si>
    <t>Nebrzděné nápravy</t>
  </si>
  <si>
    <t>Brzděné nápravy</t>
  </si>
  <si>
    <t>Ramena polonáprav</t>
  </si>
  <si>
    <t>Díly náprav</t>
  </si>
  <si>
    <t>Brzdové bubny</t>
  </si>
  <si>
    <t>Brzdové čelisti</t>
  </si>
  <si>
    <t>Brzdové štíty</t>
  </si>
  <si>
    <t>Čepy náboje</t>
  </si>
  <si>
    <t>Díly seřízování a couvací automatiky</t>
  </si>
  <si>
    <t>Lanovody, vahadla, táhla</t>
  </si>
  <si>
    <t>Listové pružiny a příslušenství</t>
  </si>
  <si>
    <t>Ložiska</t>
  </si>
  <si>
    <t>Kolové šrouby, matice, štefty</t>
  </si>
  <si>
    <t>Kompletní kolové jednotky</t>
  </si>
  <si>
    <t>Krytky náboje</t>
  </si>
  <si>
    <t>Nebrzděné náboje</t>
  </si>
  <si>
    <t>Pružiny brzdových čelistí</t>
  </si>
  <si>
    <t>Rozpěrky a brzdové válečky</t>
  </si>
  <si>
    <t>Seegerovy pojistky</t>
  </si>
  <si>
    <t>Středové matice</t>
  </si>
  <si>
    <t>Stabilizační jednotky</t>
  </si>
  <si>
    <t>Těsnící kroužky, prachovky, gufera</t>
  </si>
  <si>
    <t>Tlumiče náprav a držáky</t>
  </si>
  <si>
    <t>Doplňky a příslušenství náprav</t>
  </si>
  <si>
    <t>Navijáky a příslušenství</t>
  </si>
  <si>
    <t>Ruční navijáky</t>
  </si>
  <si>
    <t>Elektrické navijáky</t>
  </si>
  <si>
    <t>Lana a popruhy</t>
  </si>
  <si>
    <t>Držáky navijáků</t>
  </si>
  <si>
    <t>Díly a příslušenství navijáků</t>
  </si>
  <si>
    <t>Opěrná kolečka, nohy, držáky</t>
  </si>
  <si>
    <t>Opěrná kolečka</t>
  </si>
  <si>
    <t>Opěrné nohy</t>
  </si>
  <si>
    <t>Držáky a klemy</t>
  </si>
  <si>
    <t>Díly a doplňky koleček a nohou</t>
  </si>
  <si>
    <t>Plachty a příslušenství</t>
  </si>
  <si>
    <t>Plachty s příslušenstvím</t>
  </si>
  <si>
    <t>Příslušenství k plachtám</t>
  </si>
  <si>
    <t>Plynové vzpěry a příslušenství</t>
  </si>
  <si>
    <t>Plynové vzpěry</t>
  </si>
  <si>
    <t>Koncovky a konzoly plynových vzpěr</t>
  </si>
  <si>
    <t>Pneu, kola, disky</t>
  </si>
  <si>
    <t>Disky kol</t>
  </si>
  <si>
    <t>Kompletní kola</t>
  </si>
  <si>
    <t>Pneu</t>
  </si>
  <si>
    <t>Pneu, kola, disky 8"</t>
  </si>
  <si>
    <t>Pneu, kola, disky 10"</t>
  </si>
  <si>
    <t>Pneu, kola, disky 13"</t>
  </si>
  <si>
    <t>Pneu, kola, disky 14"</t>
  </si>
  <si>
    <t>Pneu, kola, disky 15" a více</t>
  </si>
  <si>
    <t>Příslušenství kol a pneumatik</t>
  </si>
  <si>
    <t>Pomůcky pro údržbu</t>
  </si>
  <si>
    <t>Náplně do ostřikovačů</t>
  </si>
  <si>
    <t>Přípravky</t>
  </si>
  <si>
    <t>Brusné a řezné kotouče</t>
  </si>
  <si>
    <t>Maziva a technické spreje</t>
  </si>
  <si>
    <t>Ochranné pomůcky</t>
  </si>
  <si>
    <t>Vrtáky a závitníky</t>
  </si>
  <si>
    <t>Elektroinstalační materiál</t>
  </si>
  <si>
    <t>Montážní svítilny</t>
  </si>
  <si>
    <t>Spojovací zařízení a zámky</t>
  </si>
  <si>
    <t>Tažné kulové spojky</t>
  </si>
  <si>
    <t>Tažná oka</t>
  </si>
  <si>
    <t>Stabilizátory</t>
  </si>
  <si>
    <t>Tažné koule</t>
  </si>
  <si>
    <t>Zámky a zabezpečení</t>
  </si>
  <si>
    <t>Příslušenství a náhradní díly</t>
  </si>
  <si>
    <t>Zabezpečení nákladu</t>
  </si>
  <si>
    <t>Upínací soupravy a popruhy</t>
  </si>
  <si>
    <t>Ochrany popruhů a háky</t>
  </si>
  <si>
    <t>Zakrývací sítě</t>
  </si>
  <si>
    <t>Upínací oka a misky</t>
  </si>
  <si>
    <t>Doplňky k zabezpečení nákladu</t>
  </si>
  <si>
    <t>Obalové materiály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</si>
</sst>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0.0%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1F5C8C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5C8C"/>
        <bgColor rgb="FF1F5C8C"/>
      </patternFill>
    </fill>
    <fill>
      <patternFill patternType="solid">
        <fgColor rgb="FFDCE6F1"/>
        <bgColor rgb="FFDCE6F1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0" fillId="0" fontId="5" numFmtId="0" xfId="0" applyFont="1"/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4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0" fontId="6" numFmtId="165" xfId="0" applyAlignment="1" applyFont="1" applyNumberForma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2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36.0"/>
    <col customWidth="1" min="5" max="5" width="12.57"/>
    <col customWidth="1" min="6" max="6" width="16.0"/>
    <col customWidth="1" min="7" max="7" width="18.0"/>
    <col customWidth="1" min="8" max="8" width="30.0"/>
  </cols>
  <sheetData>
    <row r="1" ht="3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4">
        <v>1.0</v>
      </c>
      <c r="B2" s="4" t="s">
        <v>3</v>
      </c>
      <c r="C2" s="4" t="s">
        <v>10</v>
      </c>
      <c r="D2" s="4"/>
      <c r="E2" s="5" t="s">
        <v>11</v>
      </c>
      <c r="F2" s="4"/>
      <c r="G2" s="5"/>
      <c r="H2" s="4"/>
    </row>
    <row r="3">
      <c r="A3" s="6">
        <v>2.0</v>
      </c>
      <c r="B3" s="6" t="s">
        <v>4</v>
      </c>
      <c r="C3" s="6" t="s">
        <v>10</v>
      </c>
      <c r="D3" s="6" t="s">
        <v>12</v>
      </c>
      <c r="E3" s="8" t="s">
        <v>13</v>
      </c>
      <c r="F3" s="9">
        <v>46174.0</v>
      </c>
      <c r="G3" s="10"/>
      <c r="H3" s="6"/>
    </row>
    <row r="4">
      <c r="A4" s="6">
        <v>3.0</v>
      </c>
      <c r="B4" s="6" t="s">
        <v>4</v>
      </c>
      <c r="C4" s="6" t="s">
        <v>10</v>
      </c>
      <c r="D4" s="6" t="s">
        <v>15</v>
      </c>
      <c r="E4" s="10" t="s">
        <v>11</v>
      </c>
      <c r="F4" s="6"/>
      <c r="G4" s="10"/>
      <c r="H4" s="6"/>
    </row>
    <row r="5">
      <c r="A5" s="6">
        <v>4.0</v>
      </c>
      <c r="B5" s="6" t="s">
        <v>4</v>
      </c>
      <c r="C5" s="6" t="s">
        <v>10</v>
      </c>
      <c r="D5" s="6" t="s">
        <v>17</v>
      </c>
      <c r="E5" s="10" t="s">
        <v>11</v>
      </c>
      <c r="F5" s="6"/>
      <c r="G5" s="10"/>
      <c r="H5" s="6"/>
    </row>
    <row r="6">
      <c r="A6" s="6">
        <v>5.0</v>
      </c>
      <c r="B6" s="6" t="s">
        <v>4</v>
      </c>
      <c r="C6" s="6" t="s">
        <v>10</v>
      </c>
      <c r="D6" s="6" t="s">
        <v>18</v>
      </c>
      <c r="E6" s="10" t="s">
        <v>11</v>
      </c>
      <c r="F6" s="6"/>
      <c r="G6" s="10"/>
      <c r="H6" s="6"/>
    </row>
    <row r="7">
      <c r="A7" s="6">
        <v>6.0</v>
      </c>
      <c r="B7" s="6" t="s">
        <v>4</v>
      </c>
      <c r="C7" s="6" t="s">
        <v>10</v>
      </c>
      <c r="D7" s="6" t="s">
        <v>20</v>
      </c>
      <c r="E7" s="10" t="s">
        <v>11</v>
      </c>
      <c r="F7" s="6"/>
      <c r="G7" s="10"/>
      <c r="H7" s="6"/>
    </row>
    <row r="8">
      <c r="A8" s="6">
        <v>7.0</v>
      </c>
      <c r="B8" s="6" t="s">
        <v>4</v>
      </c>
      <c r="C8" s="6" t="s">
        <v>10</v>
      </c>
      <c r="D8" s="6" t="s">
        <v>21</v>
      </c>
      <c r="E8" s="10" t="s">
        <v>11</v>
      </c>
      <c r="F8" s="6"/>
      <c r="G8" s="10"/>
      <c r="H8" s="6"/>
    </row>
    <row r="9">
      <c r="A9" s="6">
        <v>8.0</v>
      </c>
      <c r="B9" s="6" t="s">
        <v>4</v>
      </c>
      <c r="C9" s="6" t="s">
        <v>10</v>
      </c>
      <c r="D9" s="6" t="s">
        <v>23</v>
      </c>
      <c r="E9" s="10" t="s">
        <v>11</v>
      </c>
      <c r="F9" s="6"/>
      <c r="G9" s="10"/>
      <c r="H9" s="6"/>
    </row>
    <row r="10">
      <c r="A10" s="6">
        <v>9.0</v>
      </c>
      <c r="B10" s="6" t="s">
        <v>4</v>
      </c>
      <c r="C10" s="6" t="s">
        <v>10</v>
      </c>
      <c r="D10" s="6" t="s">
        <v>25</v>
      </c>
      <c r="E10" s="10" t="s">
        <v>11</v>
      </c>
      <c r="F10" s="6"/>
      <c r="G10" s="10"/>
      <c r="H10" s="6"/>
    </row>
    <row r="11">
      <c r="A11" s="6">
        <v>10.0</v>
      </c>
      <c r="B11" s="6" t="s">
        <v>4</v>
      </c>
      <c r="C11" s="6" t="s">
        <v>10</v>
      </c>
      <c r="D11" s="6" t="s">
        <v>26</v>
      </c>
      <c r="E11" s="10" t="s">
        <v>11</v>
      </c>
      <c r="F11" s="6"/>
      <c r="G11" s="10"/>
      <c r="H11" s="6"/>
    </row>
    <row r="12">
      <c r="A12" s="6">
        <v>11.0</v>
      </c>
      <c r="B12" s="6" t="s">
        <v>4</v>
      </c>
      <c r="C12" s="6" t="s">
        <v>10</v>
      </c>
      <c r="D12" s="6" t="s">
        <v>27</v>
      </c>
      <c r="E12" s="10" t="s">
        <v>11</v>
      </c>
      <c r="F12" s="6"/>
      <c r="G12" s="10"/>
      <c r="H12" s="6"/>
    </row>
    <row r="13">
      <c r="A13" s="6">
        <v>12.0</v>
      </c>
      <c r="B13" s="6" t="s">
        <v>4</v>
      </c>
      <c r="C13" s="6" t="s">
        <v>10</v>
      </c>
      <c r="D13" s="6" t="s">
        <v>28</v>
      </c>
      <c r="E13" s="10" t="s">
        <v>11</v>
      </c>
      <c r="F13" s="6"/>
      <c r="G13" s="10"/>
      <c r="H13" s="6"/>
    </row>
    <row r="14">
      <c r="A14" s="6">
        <v>13.0</v>
      </c>
      <c r="B14" s="6" t="s">
        <v>4</v>
      </c>
      <c r="C14" s="6" t="s">
        <v>10</v>
      </c>
      <c r="D14" s="6" t="s">
        <v>29</v>
      </c>
      <c r="E14" s="10" t="s">
        <v>11</v>
      </c>
      <c r="F14" s="6"/>
      <c r="G14" s="10"/>
      <c r="H14" s="6"/>
    </row>
    <row r="15">
      <c r="A15" s="6">
        <v>14.0</v>
      </c>
      <c r="B15" s="6" t="s">
        <v>4</v>
      </c>
      <c r="C15" s="6" t="s">
        <v>10</v>
      </c>
      <c r="D15" s="6" t="s">
        <v>30</v>
      </c>
      <c r="E15" s="10" t="s">
        <v>11</v>
      </c>
      <c r="F15" s="6"/>
      <c r="G15" s="10"/>
      <c r="H15" s="6"/>
    </row>
    <row r="16">
      <c r="A16" s="6">
        <v>15.0</v>
      </c>
      <c r="B16" s="6" t="s">
        <v>4</v>
      </c>
      <c r="C16" s="6" t="s">
        <v>10</v>
      </c>
      <c r="D16" s="6" t="s">
        <v>31</v>
      </c>
      <c r="E16" s="10" t="s">
        <v>11</v>
      </c>
      <c r="F16" s="6"/>
      <c r="G16" s="10"/>
      <c r="H16" s="6"/>
    </row>
    <row r="17">
      <c r="A17" s="6">
        <v>16.0</v>
      </c>
      <c r="B17" s="6" t="s">
        <v>4</v>
      </c>
      <c r="C17" s="6" t="s">
        <v>10</v>
      </c>
      <c r="D17" s="6" t="s">
        <v>32</v>
      </c>
      <c r="E17" s="10" t="s">
        <v>11</v>
      </c>
      <c r="F17" s="6"/>
      <c r="G17" s="10"/>
      <c r="H17" s="6"/>
    </row>
    <row r="18">
      <c r="A18" s="6">
        <v>17.0</v>
      </c>
      <c r="B18" s="6" t="s">
        <v>4</v>
      </c>
      <c r="C18" s="6" t="s">
        <v>10</v>
      </c>
      <c r="D18" s="6" t="s">
        <v>33</v>
      </c>
      <c r="E18" s="10" t="s">
        <v>11</v>
      </c>
      <c r="F18" s="6"/>
      <c r="G18" s="10"/>
      <c r="H18" s="6"/>
    </row>
    <row r="19">
      <c r="A19" s="4">
        <v>18.0</v>
      </c>
      <c r="B19" s="4" t="s">
        <v>3</v>
      </c>
      <c r="C19" s="4" t="s">
        <v>34</v>
      </c>
      <c r="D19" s="4"/>
      <c r="E19" s="13" t="s">
        <v>13</v>
      </c>
      <c r="F19" s="14" t="s">
        <v>35</v>
      </c>
      <c r="G19" s="5"/>
      <c r="H19" s="4"/>
    </row>
    <row r="20">
      <c r="A20" s="6">
        <v>19.0</v>
      </c>
      <c r="B20" s="6" t="s">
        <v>4</v>
      </c>
      <c r="C20" s="6" t="s">
        <v>34</v>
      </c>
      <c r="D20" s="6" t="s">
        <v>36</v>
      </c>
      <c r="E20" s="8" t="s">
        <v>13</v>
      </c>
      <c r="F20" s="15" t="s">
        <v>37</v>
      </c>
      <c r="G20" s="10"/>
      <c r="H20" s="6"/>
    </row>
    <row r="21" ht="15.75" customHeight="1">
      <c r="A21" s="6">
        <v>20.0</v>
      </c>
      <c r="B21" s="6" t="s">
        <v>4</v>
      </c>
      <c r="C21" s="6" t="s">
        <v>34</v>
      </c>
      <c r="D21" s="6" t="s">
        <v>38</v>
      </c>
      <c r="E21" s="8" t="s">
        <v>13</v>
      </c>
      <c r="F21" s="15" t="s">
        <v>37</v>
      </c>
      <c r="G21" s="10"/>
      <c r="H21" s="6"/>
    </row>
    <row r="22" ht="15.75" customHeight="1">
      <c r="A22" s="6">
        <v>21.0</v>
      </c>
      <c r="B22" s="6" t="s">
        <v>4</v>
      </c>
      <c r="C22" s="6" t="s">
        <v>34</v>
      </c>
      <c r="D22" s="6" t="s">
        <v>39</v>
      </c>
      <c r="E22" s="8" t="s">
        <v>13</v>
      </c>
      <c r="F22" s="15" t="s">
        <v>37</v>
      </c>
      <c r="G22" s="10"/>
      <c r="H22" s="6"/>
    </row>
    <row r="23" ht="15.75" customHeight="1">
      <c r="A23" s="4">
        <v>22.0</v>
      </c>
      <c r="B23" s="4" t="s">
        <v>3</v>
      </c>
      <c r="C23" s="4" t="s">
        <v>40</v>
      </c>
      <c r="D23" s="4"/>
      <c r="E23" s="13" t="s">
        <v>13</v>
      </c>
      <c r="F23" s="14" t="s">
        <v>35</v>
      </c>
      <c r="G23" s="5"/>
      <c r="H23" s="4"/>
    </row>
    <row r="24" ht="15.75" customHeight="1">
      <c r="A24" s="6">
        <v>23.0</v>
      </c>
      <c r="B24" s="6" t="s">
        <v>4</v>
      </c>
      <c r="C24" s="6" t="s">
        <v>40</v>
      </c>
      <c r="D24" s="6" t="s">
        <v>41</v>
      </c>
      <c r="E24" s="10" t="s">
        <v>11</v>
      </c>
      <c r="F24" s="6"/>
      <c r="G24" s="10"/>
      <c r="H24" s="6"/>
    </row>
    <row r="25" ht="15.75" customHeight="1">
      <c r="A25" s="6">
        <v>24.0</v>
      </c>
      <c r="B25" s="6" t="s">
        <v>4</v>
      </c>
      <c r="C25" s="6" t="s">
        <v>40</v>
      </c>
      <c r="D25" s="6" t="s">
        <v>42</v>
      </c>
      <c r="E25" s="10" t="s">
        <v>11</v>
      </c>
      <c r="F25" s="6"/>
      <c r="G25" s="10"/>
      <c r="H25" s="6"/>
    </row>
    <row r="26" ht="15.75" customHeight="1">
      <c r="A26" s="6">
        <v>25.0</v>
      </c>
      <c r="B26" s="6" t="s">
        <v>4</v>
      </c>
      <c r="C26" s="6" t="s">
        <v>40</v>
      </c>
      <c r="D26" s="6" t="s">
        <v>43</v>
      </c>
      <c r="E26" s="10" t="s">
        <v>11</v>
      </c>
      <c r="F26" s="6"/>
      <c r="G26" s="10"/>
      <c r="H26" s="6"/>
    </row>
    <row r="27" ht="15.75" customHeight="1">
      <c r="A27" s="6">
        <v>26.0</v>
      </c>
      <c r="B27" s="6" t="s">
        <v>4</v>
      </c>
      <c r="C27" s="6" t="s">
        <v>40</v>
      </c>
      <c r="D27" s="6" t="s">
        <v>44</v>
      </c>
      <c r="E27" s="10" t="s">
        <v>11</v>
      </c>
      <c r="F27" s="6"/>
      <c r="G27" s="10"/>
      <c r="H27" s="6"/>
    </row>
    <row r="28" ht="15.75" customHeight="1">
      <c r="A28" s="6">
        <v>27.0</v>
      </c>
      <c r="B28" s="6" t="s">
        <v>4</v>
      </c>
      <c r="C28" s="6" t="s">
        <v>40</v>
      </c>
      <c r="D28" s="6" t="s">
        <v>45</v>
      </c>
      <c r="E28" s="10" t="s">
        <v>11</v>
      </c>
      <c r="F28" s="6"/>
      <c r="G28" s="10"/>
      <c r="H28" s="6"/>
    </row>
    <row r="29" ht="15.75" customHeight="1">
      <c r="A29" s="4">
        <v>28.0</v>
      </c>
      <c r="B29" s="4" t="s">
        <v>3</v>
      </c>
      <c r="C29" s="4" t="s">
        <v>46</v>
      </c>
      <c r="D29" s="4"/>
      <c r="E29" s="5" t="s">
        <v>11</v>
      </c>
      <c r="F29" s="4"/>
      <c r="G29" s="5"/>
      <c r="H29" s="4"/>
    </row>
    <row r="30" ht="15.75" customHeight="1">
      <c r="A30" s="6">
        <v>29.0</v>
      </c>
      <c r="B30" s="6" t="s">
        <v>4</v>
      </c>
      <c r="C30" s="6" t="s">
        <v>46</v>
      </c>
      <c r="D30" s="6" t="s">
        <v>47</v>
      </c>
      <c r="E30" s="10" t="s">
        <v>11</v>
      </c>
      <c r="F30" s="6"/>
      <c r="G30" s="10"/>
      <c r="H30" s="6"/>
    </row>
    <row r="31" ht="15.75" customHeight="1">
      <c r="A31" s="6">
        <v>30.0</v>
      </c>
      <c r="B31" s="6" t="s">
        <v>4</v>
      </c>
      <c r="C31" s="6" t="s">
        <v>46</v>
      </c>
      <c r="D31" s="6" t="s">
        <v>48</v>
      </c>
      <c r="E31" s="10" t="s">
        <v>11</v>
      </c>
      <c r="F31" s="6"/>
      <c r="G31" s="10"/>
      <c r="H31" s="6"/>
    </row>
    <row r="32" ht="15.75" customHeight="1">
      <c r="A32" s="6">
        <v>31.0</v>
      </c>
      <c r="B32" s="6" t="s">
        <v>4</v>
      </c>
      <c r="C32" s="6" t="s">
        <v>46</v>
      </c>
      <c r="D32" s="6" t="s">
        <v>49</v>
      </c>
      <c r="E32" s="10" t="s">
        <v>11</v>
      </c>
      <c r="F32" s="6"/>
      <c r="G32" s="10"/>
      <c r="H32" s="6"/>
    </row>
    <row r="33" ht="15.75" customHeight="1">
      <c r="A33" s="4">
        <v>32.0</v>
      </c>
      <c r="B33" s="4" t="s">
        <v>3</v>
      </c>
      <c r="C33" s="4" t="s">
        <v>50</v>
      </c>
      <c r="D33" s="4"/>
      <c r="E33" s="5" t="s">
        <v>11</v>
      </c>
      <c r="F33" s="4"/>
      <c r="G33" s="5"/>
      <c r="H33" s="4"/>
    </row>
    <row r="34" ht="15.75" customHeight="1">
      <c r="A34" s="6">
        <v>33.0</v>
      </c>
      <c r="B34" s="6" t="s">
        <v>4</v>
      </c>
      <c r="C34" s="6" t="s">
        <v>50</v>
      </c>
      <c r="D34" s="6" t="s">
        <v>51</v>
      </c>
      <c r="E34" s="10" t="s">
        <v>11</v>
      </c>
      <c r="F34" s="6"/>
      <c r="G34" s="10"/>
      <c r="H34" s="6"/>
    </row>
    <row r="35" ht="15.75" customHeight="1">
      <c r="A35" s="6">
        <v>34.0</v>
      </c>
      <c r="B35" s="6" t="s">
        <v>4</v>
      </c>
      <c r="C35" s="6" t="s">
        <v>50</v>
      </c>
      <c r="D35" s="6" t="s">
        <v>52</v>
      </c>
      <c r="E35" s="10" t="s">
        <v>11</v>
      </c>
      <c r="F35" s="6"/>
      <c r="G35" s="10"/>
      <c r="H35" s="6"/>
    </row>
    <row r="36" ht="15.75" customHeight="1">
      <c r="A36" s="6">
        <v>35.0</v>
      </c>
      <c r="B36" s="6" t="s">
        <v>4</v>
      </c>
      <c r="C36" s="6" t="s">
        <v>50</v>
      </c>
      <c r="D36" s="6" t="s">
        <v>53</v>
      </c>
      <c r="E36" s="10" t="s">
        <v>11</v>
      </c>
      <c r="F36" s="6"/>
      <c r="G36" s="10"/>
      <c r="H36" s="6"/>
    </row>
    <row r="37" ht="15.75" customHeight="1">
      <c r="A37" s="4">
        <v>36.0</v>
      </c>
      <c r="B37" s="4" t="s">
        <v>3</v>
      </c>
      <c r="C37" s="4" t="s">
        <v>54</v>
      </c>
      <c r="D37" s="4"/>
      <c r="E37" s="5" t="s">
        <v>13</v>
      </c>
      <c r="F37" s="4"/>
      <c r="G37" s="5"/>
      <c r="H37" s="4"/>
    </row>
    <row r="38" ht="15.75" customHeight="1">
      <c r="A38" s="6">
        <v>37.0</v>
      </c>
      <c r="B38" s="6" t="s">
        <v>4</v>
      </c>
      <c r="C38" s="6" t="s">
        <v>54</v>
      </c>
      <c r="D38" s="6" t="s">
        <v>55</v>
      </c>
      <c r="E38" s="10" t="s">
        <v>13</v>
      </c>
      <c r="F38" s="15" t="s">
        <v>56</v>
      </c>
      <c r="G38" s="10"/>
      <c r="H38" s="6"/>
    </row>
    <row r="39" ht="15.75" customHeight="1">
      <c r="A39" s="6">
        <v>38.0</v>
      </c>
      <c r="B39" s="6" t="s">
        <v>4</v>
      </c>
      <c r="C39" s="6" t="s">
        <v>54</v>
      </c>
      <c r="D39" s="6" t="s">
        <v>57</v>
      </c>
      <c r="E39" s="10" t="s">
        <v>13</v>
      </c>
      <c r="F39" s="15" t="s">
        <v>56</v>
      </c>
      <c r="G39" s="10"/>
      <c r="H39" s="6"/>
    </row>
    <row r="40" ht="15.75" customHeight="1">
      <c r="A40" s="6">
        <v>39.0</v>
      </c>
      <c r="B40" s="6" t="s">
        <v>4</v>
      </c>
      <c r="C40" s="6" t="s">
        <v>54</v>
      </c>
      <c r="D40" s="6" t="s">
        <v>58</v>
      </c>
      <c r="E40" s="10" t="s">
        <v>13</v>
      </c>
      <c r="F40" s="15" t="s">
        <v>56</v>
      </c>
      <c r="G40" s="10"/>
      <c r="H40" s="6"/>
    </row>
    <row r="41" ht="15.75" customHeight="1">
      <c r="A41" s="6">
        <v>40.0</v>
      </c>
      <c r="B41" s="6" t="s">
        <v>4</v>
      </c>
      <c r="C41" s="6" t="s">
        <v>54</v>
      </c>
      <c r="D41" s="6" t="s">
        <v>59</v>
      </c>
      <c r="E41" s="10" t="s">
        <v>13</v>
      </c>
      <c r="F41" s="15" t="s">
        <v>56</v>
      </c>
      <c r="G41" s="10"/>
      <c r="H41" s="6"/>
    </row>
    <row r="42" ht="15.75" customHeight="1">
      <c r="A42" s="6">
        <v>41.0</v>
      </c>
      <c r="B42" s="6" t="s">
        <v>4</v>
      </c>
      <c r="C42" s="6" t="s">
        <v>54</v>
      </c>
      <c r="D42" s="6" t="s">
        <v>60</v>
      </c>
      <c r="E42" s="10" t="s">
        <v>13</v>
      </c>
      <c r="F42" s="15" t="s">
        <v>56</v>
      </c>
      <c r="G42" s="10"/>
      <c r="H42" s="6"/>
    </row>
    <row r="43" ht="15.75" customHeight="1">
      <c r="A43" s="6">
        <v>42.0</v>
      </c>
      <c r="B43" s="6" t="s">
        <v>4</v>
      </c>
      <c r="C43" s="6" t="s">
        <v>54</v>
      </c>
      <c r="D43" s="6" t="s">
        <v>61</v>
      </c>
      <c r="E43" s="10" t="s">
        <v>13</v>
      </c>
      <c r="F43" s="15" t="s">
        <v>56</v>
      </c>
      <c r="G43" s="10"/>
      <c r="H43" s="6"/>
    </row>
    <row r="44" ht="15.75" customHeight="1">
      <c r="A44" s="6">
        <v>43.0</v>
      </c>
      <c r="B44" s="6" t="s">
        <v>4</v>
      </c>
      <c r="C44" s="6" t="s">
        <v>54</v>
      </c>
      <c r="D44" s="6" t="s">
        <v>62</v>
      </c>
      <c r="E44" s="10" t="s">
        <v>13</v>
      </c>
      <c r="F44" s="15" t="s">
        <v>56</v>
      </c>
      <c r="G44" s="10"/>
      <c r="H44" s="6"/>
    </row>
    <row r="45" ht="15.75" customHeight="1">
      <c r="A45" s="6">
        <v>44.0</v>
      </c>
      <c r="B45" s="6" t="s">
        <v>4</v>
      </c>
      <c r="C45" s="6" t="s">
        <v>54</v>
      </c>
      <c r="D45" s="6" t="s">
        <v>63</v>
      </c>
      <c r="E45" s="10" t="s">
        <v>13</v>
      </c>
      <c r="F45" s="15" t="s">
        <v>56</v>
      </c>
      <c r="G45" s="10"/>
      <c r="H45" s="6"/>
    </row>
    <row r="46" ht="15.75" customHeight="1">
      <c r="A46" s="6">
        <v>45.0</v>
      </c>
      <c r="B46" s="6" t="s">
        <v>4</v>
      </c>
      <c r="C46" s="6" t="s">
        <v>54</v>
      </c>
      <c r="D46" s="6" t="s">
        <v>64</v>
      </c>
      <c r="E46" s="10" t="s">
        <v>13</v>
      </c>
      <c r="F46" s="15" t="s">
        <v>56</v>
      </c>
      <c r="G46" s="10"/>
      <c r="H46" s="6"/>
    </row>
    <row r="47" ht="15.75" customHeight="1">
      <c r="A47" s="6">
        <v>46.0</v>
      </c>
      <c r="B47" s="6" t="s">
        <v>4</v>
      </c>
      <c r="C47" s="6" t="s">
        <v>54</v>
      </c>
      <c r="D47" s="6" t="s">
        <v>65</v>
      </c>
      <c r="E47" s="10" t="s">
        <v>13</v>
      </c>
      <c r="F47" s="15" t="s">
        <v>56</v>
      </c>
      <c r="G47" s="10"/>
      <c r="H47" s="6"/>
    </row>
    <row r="48" ht="15.75" customHeight="1">
      <c r="A48" s="6">
        <v>47.0</v>
      </c>
      <c r="B48" s="6" t="s">
        <v>4</v>
      </c>
      <c r="C48" s="6" t="s">
        <v>54</v>
      </c>
      <c r="D48" s="6" t="s">
        <v>66</v>
      </c>
      <c r="E48" s="10" t="s">
        <v>13</v>
      </c>
      <c r="F48" s="15" t="s">
        <v>56</v>
      </c>
      <c r="G48" s="10"/>
      <c r="H48" s="6"/>
    </row>
    <row r="49" ht="15.75" customHeight="1">
      <c r="A49" s="6">
        <v>48.0</v>
      </c>
      <c r="B49" s="6" t="s">
        <v>4</v>
      </c>
      <c r="C49" s="6" t="s">
        <v>54</v>
      </c>
      <c r="D49" s="6" t="s">
        <v>67</v>
      </c>
      <c r="E49" s="10" t="s">
        <v>13</v>
      </c>
      <c r="F49" s="15" t="s">
        <v>68</v>
      </c>
      <c r="G49" s="10"/>
      <c r="H49" s="6"/>
    </row>
    <row r="50" ht="15.75" customHeight="1">
      <c r="A50" s="6">
        <v>49.0</v>
      </c>
      <c r="B50" s="6" t="s">
        <v>4</v>
      </c>
      <c r="C50" s="6" t="s">
        <v>54</v>
      </c>
      <c r="D50" s="6" t="s">
        <v>69</v>
      </c>
      <c r="E50" s="10" t="s">
        <v>13</v>
      </c>
      <c r="F50" s="15" t="s">
        <v>68</v>
      </c>
      <c r="G50" s="10"/>
      <c r="H50" s="6"/>
    </row>
    <row r="51" ht="15.75" customHeight="1">
      <c r="A51" s="6">
        <v>50.0</v>
      </c>
      <c r="B51" s="6" t="s">
        <v>4</v>
      </c>
      <c r="C51" s="6" t="s">
        <v>54</v>
      </c>
      <c r="D51" s="6" t="s">
        <v>70</v>
      </c>
      <c r="E51" s="10" t="s">
        <v>13</v>
      </c>
      <c r="F51" s="15" t="s">
        <v>68</v>
      </c>
      <c r="G51" s="10"/>
      <c r="H51" s="6"/>
    </row>
    <row r="52" ht="15.75" customHeight="1">
      <c r="A52" s="6">
        <v>51.0</v>
      </c>
      <c r="B52" s="6" t="s">
        <v>4</v>
      </c>
      <c r="C52" s="6" t="s">
        <v>54</v>
      </c>
      <c r="D52" s="6" t="s">
        <v>71</v>
      </c>
      <c r="E52" s="10" t="s">
        <v>13</v>
      </c>
      <c r="F52" s="15" t="s">
        <v>68</v>
      </c>
      <c r="G52" s="10"/>
      <c r="H52" s="6"/>
    </row>
    <row r="53" ht="15.75" customHeight="1">
      <c r="A53" s="6">
        <v>52.0</v>
      </c>
      <c r="B53" s="6" t="s">
        <v>4</v>
      </c>
      <c r="C53" s="6" t="s">
        <v>54</v>
      </c>
      <c r="D53" s="6" t="s">
        <v>72</v>
      </c>
      <c r="E53" s="10" t="s">
        <v>13</v>
      </c>
      <c r="F53" s="15" t="s">
        <v>68</v>
      </c>
      <c r="G53" s="10"/>
      <c r="H53" s="6"/>
    </row>
    <row r="54" ht="15.75" customHeight="1">
      <c r="A54" s="6">
        <v>53.0</v>
      </c>
      <c r="B54" s="6" t="s">
        <v>4</v>
      </c>
      <c r="C54" s="6" t="s">
        <v>54</v>
      </c>
      <c r="D54" s="6" t="s">
        <v>73</v>
      </c>
      <c r="E54" s="10" t="s">
        <v>13</v>
      </c>
      <c r="F54" s="15" t="s">
        <v>68</v>
      </c>
      <c r="G54" s="10"/>
      <c r="H54" s="6"/>
    </row>
    <row r="55" ht="15.75" customHeight="1">
      <c r="A55" s="4">
        <v>54.0</v>
      </c>
      <c r="B55" s="4" t="s">
        <v>3</v>
      </c>
      <c r="C55" s="4" t="s">
        <v>74</v>
      </c>
      <c r="D55" s="4"/>
      <c r="E55" s="5" t="s">
        <v>11</v>
      </c>
      <c r="F55" s="4"/>
      <c r="G55" s="5"/>
      <c r="H55" s="4"/>
    </row>
    <row r="56" ht="15.75" customHeight="1">
      <c r="A56" s="4">
        <v>55.0</v>
      </c>
      <c r="B56" s="4" t="s">
        <v>3</v>
      </c>
      <c r="C56" s="4" t="s">
        <v>75</v>
      </c>
      <c r="D56" s="4"/>
      <c r="E56" s="5" t="s">
        <v>11</v>
      </c>
      <c r="F56" s="4"/>
      <c r="G56" s="5"/>
      <c r="H56" s="4"/>
    </row>
    <row r="57" ht="15.75" customHeight="1">
      <c r="A57" s="6">
        <v>56.0</v>
      </c>
      <c r="B57" s="6" t="s">
        <v>4</v>
      </c>
      <c r="C57" s="6" t="s">
        <v>75</v>
      </c>
      <c r="D57" s="6" t="s">
        <v>76</v>
      </c>
      <c r="E57" s="10" t="s">
        <v>11</v>
      </c>
      <c r="F57" s="6"/>
      <c r="G57" s="10"/>
      <c r="H57" s="6"/>
    </row>
    <row r="58" ht="15.75" customHeight="1">
      <c r="A58" s="6">
        <v>57.0</v>
      </c>
      <c r="B58" s="6" t="s">
        <v>4</v>
      </c>
      <c r="C58" s="6" t="s">
        <v>75</v>
      </c>
      <c r="D58" s="6" t="s">
        <v>77</v>
      </c>
      <c r="E58" s="10" t="s">
        <v>11</v>
      </c>
      <c r="F58" s="6"/>
      <c r="G58" s="10"/>
      <c r="H58" s="6"/>
    </row>
    <row r="59" ht="15.75" customHeight="1">
      <c r="A59" s="4">
        <v>58.0</v>
      </c>
      <c r="B59" s="4" t="s">
        <v>3</v>
      </c>
      <c r="C59" s="4" t="s">
        <v>78</v>
      </c>
      <c r="D59" s="4"/>
      <c r="E59" s="5" t="s">
        <v>11</v>
      </c>
      <c r="F59" s="4"/>
      <c r="G59" s="5"/>
      <c r="H59" s="4"/>
    </row>
    <row r="60" ht="15.75" customHeight="1">
      <c r="A60" s="6">
        <v>59.0</v>
      </c>
      <c r="B60" s="6" t="s">
        <v>4</v>
      </c>
      <c r="C60" s="6" t="s">
        <v>78</v>
      </c>
      <c r="D60" s="6" t="s">
        <v>79</v>
      </c>
      <c r="E60" s="10" t="s">
        <v>11</v>
      </c>
      <c r="F60" s="6"/>
      <c r="G60" s="10"/>
      <c r="H60" s="6"/>
    </row>
    <row r="61" ht="15.75" customHeight="1">
      <c r="A61" s="6">
        <v>60.0</v>
      </c>
      <c r="B61" s="6" t="s">
        <v>4</v>
      </c>
      <c r="C61" s="6" t="s">
        <v>78</v>
      </c>
      <c r="D61" s="6" t="s">
        <v>80</v>
      </c>
      <c r="E61" s="10" t="s">
        <v>11</v>
      </c>
      <c r="F61" s="6"/>
      <c r="G61" s="10"/>
      <c r="H61" s="6"/>
    </row>
    <row r="62" ht="15.75" customHeight="1">
      <c r="A62" s="6">
        <v>61.0</v>
      </c>
      <c r="B62" s="6" t="s">
        <v>4</v>
      </c>
      <c r="C62" s="6" t="s">
        <v>78</v>
      </c>
      <c r="D62" s="6" t="s">
        <v>81</v>
      </c>
      <c r="E62" s="10" t="s">
        <v>11</v>
      </c>
      <c r="F62" s="6"/>
      <c r="G62" s="10"/>
      <c r="H62" s="6"/>
    </row>
    <row r="63" ht="15.75" customHeight="1">
      <c r="A63" s="6">
        <v>62.0</v>
      </c>
      <c r="B63" s="6" t="s">
        <v>4</v>
      </c>
      <c r="C63" s="6" t="s">
        <v>78</v>
      </c>
      <c r="D63" s="6" t="s">
        <v>82</v>
      </c>
      <c r="E63" s="10" t="s">
        <v>11</v>
      </c>
      <c r="F63" s="6"/>
      <c r="G63" s="10"/>
      <c r="H63" s="6"/>
    </row>
    <row r="64" ht="15.75" customHeight="1">
      <c r="A64" s="6">
        <v>63.0</v>
      </c>
      <c r="B64" s="6" t="s">
        <v>4</v>
      </c>
      <c r="C64" s="6" t="s">
        <v>78</v>
      </c>
      <c r="D64" s="6" t="s">
        <v>83</v>
      </c>
      <c r="E64" s="10" t="s">
        <v>11</v>
      </c>
      <c r="F64" s="6"/>
      <c r="G64" s="10"/>
      <c r="H64" s="6"/>
    </row>
    <row r="65" ht="15.75" customHeight="1">
      <c r="A65" s="6">
        <v>64.0</v>
      </c>
      <c r="B65" s="6" t="s">
        <v>4</v>
      </c>
      <c r="C65" s="6" t="s">
        <v>78</v>
      </c>
      <c r="D65" s="6" t="s">
        <v>84</v>
      </c>
      <c r="E65" s="10" t="s">
        <v>11</v>
      </c>
      <c r="F65" s="6"/>
      <c r="G65" s="10"/>
      <c r="H65" s="6"/>
    </row>
    <row r="66" ht="15.75" customHeight="1">
      <c r="A66" s="6">
        <v>65.0</v>
      </c>
      <c r="B66" s="6" t="s">
        <v>4</v>
      </c>
      <c r="C66" s="6" t="s">
        <v>78</v>
      </c>
      <c r="D66" s="6" t="s">
        <v>85</v>
      </c>
      <c r="E66" s="10" t="s">
        <v>11</v>
      </c>
      <c r="F66" s="6"/>
      <c r="G66" s="10"/>
      <c r="H66" s="6"/>
    </row>
    <row r="67" ht="15.75" customHeight="1">
      <c r="A67" s="6">
        <v>66.0</v>
      </c>
      <c r="B67" s="6" t="s">
        <v>4</v>
      </c>
      <c r="C67" s="6" t="s">
        <v>78</v>
      </c>
      <c r="D67" s="6" t="s">
        <v>86</v>
      </c>
      <c r="E67" s="10" t="s">
        <v>11</v>
      </c>
      <c r="F67" s="6"/>
      <c r="G67" s="10"/>
      <c r="H67" s="6"/>
    </row>
    <row r="68" ht="15.75" customHeight="1">
      <c r="A68" s="6">
        <v>67.0</v>
      </c>
      <c r="B68" s="6" t="s">
        <v>4</v>
      </c>
      <c r="C68" s="6" t="s">
        <v>78</v>
      </c>
      <c r="D68" s="6" t="s">
        <v>87</v>
      </c>
      <c r="E68" s="10" t="s">
        <v>11</v>
      </c>
      <c r="F68" s="6"/>
      <c r="G68" s="10"/>
      <c r="H68" s="6"/>
    </row>
    <row r="69" ht="15.75" customHeight="1">
      <c r="A69" s="6">
        <v>68.0</v>
      </c>
      <c r="B69" s="6" t="s">
        <v>4</v>
      </c>
      <c r="C69" s="6" t="s">
        <v>78</v>
      </c>
      <c r="D69" s="6" t="s">
        <v>88</v>
      </c>
      <c r="E69" s="10" t="s">
        <v>11</v>
      </c>
      <c r="F69" s="6"/>
      <c r="G69" s="10"/>
      <c r="H69" s="6"/>
    </row>
    <row r="70" ht="15.75" customHeight="1">
      <c r="A70" s="4">
        <v>69.0</v>
      </c>
      <c r="B70" s="4" t="s">
        <v>3</v>
      </c>
      <c r="C70" s="4" t="s">
        <v>89</v>
      </c>
      <c r="D70" s="4"/>
      <c r="E70" s="5" t="s">
        <v>11</v>
      </c>
      <c r="F70" s="4"/>
      <c r="G70" s="5"/>
      <c r="H70" s="4"/>
    </row>
    <row r="71" ht="15.75" customHeight="1">
      <c r="A71" s="6">
        <v>70.0</v>
      </c>
      <c r="B71" s="6" t="s">
        <v>4</v>
      </c>
      <c r="C71" s="6" t="s">
        <v>89</v>
      </c>
      <c r="D71" s="6" t="s">
        <v>90</v>
      </c>
      <c r="E71" s="10" t="s">
        <v>11</v>
      </c>
      <c r="F71" s="6"/>
      <c r="G71" s="10"/>
      <c r="H71" s="6"/>
    </row>
    <row r="72" ht="15.75" customHeight="1">
      <c r="A72" s="6">
        <v>71.0</v>
      </c>
      <c r="B72" s="6" t="s">
        <v>4</v>
      </c>
      <c r="C72" s="6" t="s">
        <v>89</v>
      </c>
      <c r="D72" s="6" t="s">
        <v>91</v>
      </c>
      <c r="E72" s="10" t="s">
        <v>11</v>
      </c>
      <c r="F72" s="6"/>
      <c r="G72" s="10"/>
      <c r="H72" s="6"/>
    </row>
    <row r="73" ht="15.75" customHeight="1">
      <c r="A73" s="6">
        <v>72.0</v>
      </c>
      <c r="B73" s="6" t="s">
        <v>4</v>
      </c>
      <c r="C73" s="6" t="s">
        <v>89</v>
      </c>
      <c r="D73" s="6" t="s">
        <v>92</v>
      </c>
      <c r="E73" s="10" t="s">
        <v>11</v>
      </c>
      <c r="F73" s="6"/>
      <c r="G73" s="10"/>
      <c r="H73" s="6"/>
    </row>
    <row r="74" ht="15.75" customHeight="1">
      <c r="A74" s="4">
        <v>73.0</v>
      </c>
      <c r="B74" s="4" t="s">
        <v>3</v>
      </c>
      <c r="C74" s="4" t="s">
        <v>93</v>
      </c>
      <c r="D74" s="4"/>
      <c r="E74" s="5" t="s">
        <v>11</v>
      </c>
      <c r="F74" s="4"/>
      <c r="G74" s="5"/>
      <c r="H74" s="4"/>
    </row>
    <row r="75" ht="15.75" customHeight="1">
      <c r="A75" s="6">
        <v>74.0</v>
      </c>
      <c r="B75" s="6" t="s">
        <v>4</v>
      </c>
      <c r="C75" s="6" t="s">
        <v>93</v>
      </c>
      <c r="D75" s="6" t="s">
        <v>94</v>
      </c>
      <c r="E75" s="10" t="s">
        <v>11</v>
      </c>
      <c r="F75" s="6"/>
      <c r="G75" s="10"/>
      <c r="H75" s="6"/>
    </row>
    <row r="76" ht="15.75" customHeight="1">
      <c r="A76" s="6">
        <v>75.0</v>
      </c>
      <c r="B76" s="6" t="s">
        <v>4</v>
      </c>
      <c r="C76" s="6" t="s">
        <v>93</v>
      </c>
      <c r="D76" s="6" t="s">
        <v>95</v>
      </c>
      <c r="E76" s="10" t="s">
        <v>11</v>
      </c>
      <c r="F76" s="6"/>
      <c r="G76" s="10"/>
      <c r="H76" s="6"/>
    </row>
    <row r="77" ht="15.75" customHeight="1">
      <c r="A77" s="6">
        <v>76.0</v>
      </c>
      <c r="B77" s="6" t="s">
        <v>4</v>
      </c>
      <c r="C77" s="6" t="s">
        <v>93</v>
      </c>
      <c r="D77" s="6" t="s">
        <v>96</v>
      </c>
      <c r="E77" s="10" t="s">
        <v>11</v>
      </c>
      <c r="F77" s="6"/>
      <c r="G77" s="10"/>
      <c r="H77" s="6"/>
    </row>
    <row r="78" ht="15.75" customHeight="1">
      <c r="A78" s="6">
        <v>77.0</v>
      </c>
      <c r="B78" s="6" t="s">
        <v>4</v>
      </c>
      <c r="C78" s="6" t="s">
        <v>93</v>
      </c>
      <c r="D78" s="6" t="s">
        <v>97</v>
      </c>
      <c r="E78" s="10" t="s">
        <v>11</v>
      </c>
      <c r="F78" s="6"/>
      <c r="G78" s="10"/>
      <c r="H78" s="6"/>
    </row>
    <row r="79" ht="15.75" customHeight="1">
      <c r="A79" s="6">
        <v>78.0</v>
      </c>
      <c r="B79" s="6" t="s">
        <v>4</v>
      </c>
      <c r="C79" s="6" t="s">
        <v>93</v>
      </c>
      <c r="D79" s="6" t="s">
        <v>98</v>
      </c>
      <c r="E79" s="10" t="s">
        <v>11</v>
      </c>
      <c r="F79" s="6"/>
      <c r="G79" s="10"/>
      <c r="H79" s="6"/>
    </row>
    <row r="80" ht="15.75" customHeight="1">
      <c r="A80" s="6">
        <v>79.0</v>
      </c>
      <c r="B80" s="6" t="s">
        <v>4</v>
      </c>
      <c r="C80" s="6" t="s">
        <v>93</v>
      </c>
      <c r="D80" s="6" t="s">
        <v>99</v>
      </c>
      <c r="E80" s="10" t="s">
        <v>11</v>
      </c>
      <c r="F80" s="6"/>
      <c r="G80" s="10"/>
      <c r="H80" s="6"/>
    </row>
    <row r="81" ht="15.75" customHeight="1">
      <c r="A81" s="6">
        <v>80.0</v>
      </c>
      <c r="B81" s="6" t="s">
        <v>4</v>
      </c>
      <c r="C81" s="6" t="s">
        <v>93</v>
      </c>
      <c r="D81" s="6" t="s">
        <v>100</v>
      </c>
      <c r="E81" s="10" t="s">
        <v>11</v>
      </c>
      <c r="F81" s="6"/>
      <c r="G81" s="10"/>
      <c r="H81" s="6"/>
    </row>
    <row r="82" ht="15.75" customHeight="1">
      <c r="A82" s="6">
        <v>81.0</v>
      </c>
      <c r="B82" s="6" t="s">
        <v>4</v>
      </c>
      <c r="C82" s="6" t="s">
        <v>93</v>
      </c>
      <c r="D82" s="6" t="s">
        <v>101</v>
      </c>
      <c r="E82" s="10" t="s">
        <v>11</v>
      </c>
      <c r="F82" s="6"/>
      <c r="G82" s="10"/>
      <c r="H82" s="6"/>
    </row>
    <row r="83" ht="15.75" customHeight="1">
      <c r="A83" s="6">
        <v>82.0</v>
      </c>
      <c r="B83" s="6" t="s">
        <v>4</v>
      </c>
      <c r="C83" s="6" t="s">
        <v>93</v>
      </c>
      <c r="D83" s="6" t="s">
        <v>102</v>
      </c>
      <c r="E83" s="10" t="s">
        <v>11</v>
      </c>
      <c r="F83" s="6"/>
      <c r="G83" s="10"/>
      <c r="H83" s="6"/>
    </row>
    <row r="84" ht="15.75" customHeight="1">
      <c r="A84" s="4">
        <v>83.0</v>
      </c>
      <c r="B84" s="4" t="s">
        <v>3</v>
      </c>
      <c r="C84" s="4" t="s">
        <v>103</v>
      </c>
      <c r="D84" s="4"/>
      <c r="E84" s="5" t="s">
        <v>11</v>
      </c>
      <c r="F84" s="4"/>
      <c r="G84" s="5"/>
      <c r="H84" s="4"/>
    </row>
    <row r="85" ht="15.75" customHeight="1">
      <c r="A85" s="6">
        <v>84.0</v>
      </c>
      <c r="B85" s="6" t="s">
        <v>4</v>
      </c>
      <c r="C85" s="6" t="s">
        <v>103</v>
      </c>
      <c r="D85" s="6" t="s">
        <v>104</v>
      </c>
      <c r="E85" s="10" t="s">
        <v>11</v>
      </c>
      <c r="F85" s="6"/>
      <c r="G85" s="10"/>
      <c r="H85" s="6"/>
    </row>
    <row r="86" ht="15.75" customHeight="1">
      <c r="A86" s="6">
        <v>85.0</v>
      </c>
      <c r="B86" s="6" t="s">
        <v>4</v>
      </c>
      <c r="C86" s="6" t="s">
        <v>103</v>
      </c>
      <c r="D86" s="6" t="s">
        <v>105</v>
      </c>
      <c r="E86" s="10" t="s">
        <v>11</v>
      </c>
      <c r="F86" s="6"/>
      <c r="G86" s="10"/>
      <c r="H86" s="6"/>
    </row>
    <row r="87" ht="15.75" customHeight="1">
      <c r="A87" s="6">
        <v>86.0</v>
      </c>
      <c r="B87" s="6" t="s">
        <v>4</v>
      </c>
      <c r="C87" s="6" t="s">
        <v>103</v>
      </c>
      <c r="D87" s="6" t="s">
        <v>106</v>
      </c>
      <c r="E87" s="10" t="s">
        <v>11</v>
      </c>
      <c r="F87" s="6"/>
      <c r="G87" s="10"/>
      <c r="H87" s="6"/>
    </row>
    <row r="88" ht="15.75" customHeight="1">
      <c r="A88" s="4">
        <v>87.0</v>
      </c>
      <c r="B88" s="4" t="s">
        <v>3</v>
      </c>
      <c r="C88" s="4" t="s">
        <v>107</v>
      </c>
      <c r="D88" s="4"/>
      <c r="E88" s="5" t="s">
        <v>11</v>
      </c>
      <c r="F88" s="4"/>
      <c r="G88" s="5"/>
      <c r="H88" s="4"/>
    </row>
    <row r="89" ht="15.75" customHeight="1">
      <c r="A89" s="6">
        <v>88.0</v>
      </c>
      <c r="B89" s="6" t="s">
        <v>4</v>
      </c>
      <c r="C89" s="6" t="s">
        <v>107</v>
      </c>
      <c r="D89" s="6" t="s">
        <v>108</v>
      </c>
      <c r="E89" s="10" t="s">
        <v>11</v>
      </c>
      <c r="F89" s="6"/>
      <c r="G89" s="10"/>
      <c r="H89" s="6"/>
    </row>
    <row r="90" ht="15.75" customHeight="1">
      <c r="A90" s="6">
        <v>89.0</v>
      </c>
      <c r="B90" s="6" t="s">
        <v>4</v>
      </c>
      <c r="C90" s="6" t="s">
        <v>107</v>
      </c>
      <c r="D90" s="6" t="s">
        <v>109</v>
      </c>
      <c r="E90" s="10" t="s">
        <v>11</v>
      </c>
      <c r="F90" s="6"/>
      <c r="G90" s="10"/>
      <c r="H90" s="6"/>
    </row>
    <row r="91" ht="15.75" customHeight="1">
      <c r="A91" s="6">
        <v>90.0</v>
      </c>
      <c r="B91" s="6" t="s">
        <v>4</v>
      </c>
      <c r="C91" s="6" t="s">
        <v>107</v>
      </c>
      <c r="D91" s="6" t="s">
        <v>110</v>
      </c>
      <c r="E91" s="10" t="s">
        <v>11</v>
      </c>
      <c r="F91" s="6"/>
      <c r="G91" s="10"/>
      <c r="H91" s="6"/>
    </row>
    <row r="92" ht="15.75" customHeight="1">
      <c r="A92" s="6">
        <v>91.0</v>
      </c>
      <c r="B92" s="6" t="s">
        <v>4</v>
      </c>
      <c r="C92" s="6" t="s">
        <v>107</v>
      </c>
      <c r="D92" s="6" t="s">
        <v>111</v>
      </c>
      <c r="E92" s="10" t="s">
        <v>11</v>
      </c>
      <c r="F92" s="6"/>
      <c r="G92" s="10"/>
      <c r="H92" s="6"/>
    </row>
    <row r="93" ht="15.75" customHeight="1">
      <c r="A93" s="6">
        <v>92.0</v>
      </c>
      <c r="B93" s="6" t="s">
        <v>4</v>
      </c>
      <c r="C93" s="6" t="s">
        <v>107</v>
      </c>
      <c r="D93" s="6" t="s">
        <v>112</v>
      </c>
      <c r="E93" s="10" t="s">
        <v>11</v>
      </c>
      <c r="F93" s="6"/>
      <c r="G93" s="10"/>
      <c r="H93" s="6"/>
    </row>
    <row r="94" ht="15.75" customHeight="1">
      <c r="A94" s="6">
        <v>93.0</v>
      </c>
      <c r="B94" s="6" t="s">
        <v>4</v>
      </c>
      <c r="C94" s="6" t="s">
        <v>107</v>
      </c>
      <c r="D94" s="6" t="s">
        <v>113</v>
      </c>
      <c r="E94" s="10" t="s">
        <v>11</v>
      </c>
      <c r="F94" s="6"/>
      <c r="G94" s="10"/>
      <c r="H94" s="6"/>
    </row>
    <row r="95" ht="15.75" customHeight="1">
      <c r="A95" s="6">
        <v>94.0</v>
      </c>
      <c r="B95" s="6" t="s">
        <v>4</v>
      </c>
      <c r="C95" s="6" t="s">
        <v>107</v>
      </c>
      <c r="D95" s="6" t="s">
        <v>114</v>
      </c>
      <c r="E95" s="10" t="s">
        <v>11</v>
      </c>
      <c r="F95" s="6"/>
      <c r="G95" s="10"/>
      <c r="H95" s="6"/>
    </row>
    <row r="96" ht="15.75" customHeight="1">
      <c r="A96" s="6">
        <v>95.0</v>
      </c>
      <c r="B96" s="6" t="s">
        <v>4</v>
      </c>
      <c r="C96" s="6" t="s">
        <v>107</v>
      </c>
      <c r="D96" s="6" t="s">
        <v>115</v>
      </c>
      <c r="E96" s="10" t="s">
        <v>11</v>
      </c>
      <c r="F96" s="6"/>
      <c r="G96" s="10"/>
      <c r="H96" s="6"/>
    </row>
    <row r="97" ht="15.75" customHeight="1">
      <c r="A97" s="6">
        <v>96.0</v>
      </c>
      <c r="B97" s="6" t="s">
        <v>4</v>
      </c>
      <c r="C97" s="6" t="s">
        <v>107</v>
      </c>
      <c r="D97" s="6" t="s">
        <v>116</v>
      </c>
      <c r="E97" s="10" t="s">
        <v>11</v>
      </c>
      <c r="F97" s="6"/>
      <c r="G97" s="10"/>
      <c r="H97" s="6"/>
    </row>
    <row r="98" ht="15.75" customHeight="1">
      <c r="A98" s="6">
        <v>97.0</v>
      </c>
      <c r="B98" s="6" t="s">
        <v>4</v>
      </c>
      <c r="C98" s="6" t="s">
        <v>107</v>
      </c>
      <c r="D98" s="6" t="s">
        <v>117</v>
      </c>
      <c r="E98" s="10" t="s">
        <v>11</v>
      </c>
      <c r="F98" s="6"/>
      <c r="G98" s="10"/>
      <c r="H98" s="6"/>
    </row>
    <row r="99" ht="15.75" customHeight="1">
      <c r="A99" s="6">
        <v>98.0</v>
      </c>
      <c r="B99" s="6" t="s">
        <v>4</v>
      </c>
      <c r="C99" s="6" t="s">
        <v>107</v>
      </c>
      <c r="D99" s="6" t="s">
        <v>118</v>
      </c>
      <c r="E99" s="10" t="s">
        <v>11</v>
      </c>
      <c r="F99" s="6"/>
      <c r="G99" s="10"/>
      <c r="H99" s="6"/>
    </row>
    <row r="100" ht="15.75" customHeight="1">
      <c r="A100" s="6">
        <v>99.0</v>
      </c>
      <c r="B100" s="6" t="s">
        <v>4</v>
      </c>
      <c r="C100" s="6" t="s">
        <v>107</v>
      </c>
      <c r="D100" s="6" t="s">
        <v>119</v>
      </c>
      <c r="E100" s="10" t="s">
        <v>11</v>
      </c>
      <c r="F100" s="6"/>
      <c r="G100" s="10"/>
      <c r="H100" s="6"/>
    </row>
    <row r="101" ht="15.75" customHeight="1">
      <c r="A101" s="6">
        <v>100.0</v>
      </c>
      <c r="B101" s="6" t="s">
        <v>4</v>
      </c>
      <c r="C101" s="6" t="s">
        <v>107</v>
      </c>
      <c r="D101" s="6" t="s">
        <v>120</v>
      </c>
      <c r="E101" s="10" t="s">
        <v>11</v>
      </c>
      <c r="F101" s="6"/>
      <c r="G101" s="10"/>
      <c r="H101" s="6"/>
    </row>
    <row r="102" ht="15.75" customHeight="1">
      <c r="A102" s="6">
        <v>101.0</v>
      </c>
      <c r="B102" s="6" t="s">
        <v>4</v>
      </c>
      <c r="C102" s="6" t="s">
        <v>107</v>
      </c>
      <c r="D102" s="6" t="s">
        <v>121</v>
      </c>
      <c r="E102" s="10" t="s">
        <v>11</v>
      </c>
      <c r="F102" s="6"/>
      <c r="G102" s="10"/>
      <c r="H102" s="6"/>
    </row>
    <row r="103" ht="15.75" customHeight="1">
      <c r="A103" s="6">
        <v>102.0</v>
      </c>
      <c r="B103" s="6" t="s">
        <v>4</v>
      </c>
      <c r="C103" s="6" t="s">
        <v>107</v>
      </c>
      <c r="D103" s="6" t="s">
        <v>122</v>
      </c>
      <c r="E103" s="10" t="s">
        <v>11</v>
      </c>
      <c r="F103" s="6"/>
      <c r="G103" s="10"/>
      <c r="H103" s="6"/>
    </row>
    <row r="104" ht="15.75" customHeight="1">
      <c r="A104" s="6">
        <v>103.0</v>
      </c>
      <c r="B104" s="6" t="s">
        <v>4</v>
      </c>
      <c r="C104" s="6" t="s">
        <v>107</v>
      </c>
      <c r="D104" s="6" t="s">
        <v>123</v>
      </c>
      <c r="E104" s="10" t="s">
        <v>11</v>
      </c>
      <c r="F104" s="6"/>
      <c r="G104" s="10"/>
      <c r="H104" s="6"/>
    </row>
    <row r="105" ht="15.75" customHeight="1">
      <c r="A105" s="6">
        <v>104.0</v>
      </c>
      <c r="B105" s="6" t="s">
        <v>4</v>
      </c>
      <c r="C105" s="6" t="s">
        <v>107</v>
      </c>
      <c r="D105" s="6" t="s">
        <v>124</v>
      </c>
      <c r="E105" s="10" t="s">
        <v>11</v>
      </c>
      <c r="F105" s="6"/>
      <c r="G105" s="10"/>
      <c r="H105" s="6"/>
    </row>
    <row r="106" ht="15.75" customHeight="1">
      <c r="A106" s="6">
        <v>105.0</v>
      </c>
      <c r="B106" s="6" t="s">
        <v>4</v>
      </c>
      <c r="C106" s="6" t="s">
        <v>107</v>
      </c>
      <c r="D106" s="6" t="s">
        <v>125</v>
      </c>
      <c r="E106" s="10" t="s">
        <v>11</v>
      </c>
      <c r="F106" s="6"/>
      <c r="G106" s="10"/>
      <c r="H106" s="6"/>
    </row>
    <row r="107" ht="15.75" customHeight="1">
      <c r="A107" s="6">
        <v>106.0</v>
      </c>
      <c r="B107" s="6" t="s">
        <v>4</v>
      </c>
      <c r="C107" s="6" t="s">
        <v>107</v>
      </c>
      <c r="D107" s="6" t="s">
        <v>126</v>
      </c>
      <c r="E107" s="10" t="s">
        <v>11</v>
      </c>
      <c r="F107" s="6"/>
      <c r="G107" s="10"/>
      <c r="H107" s="6"/>
    </row>
    <row r="108" ht="15.75" customHeight="1">
      <c r="A108" s="6">
        <v>107.0</v>
      </c>
      <c r="B108" s="6" t="s">
        <v>4</v>
      </c>
      <c r="C108" s="6" t="s">
        <v>107</v>
      </c>
      <c r="D108" s="6" t="s">
        <v>127</v>
      </c>
      <c r="E108" s="10" t="s">
        <v>11</v>
      </c>
      <c r="F108" s="6"/>
      <c r="G108" s="10"/>
      <c r="H108" s="6"/>
    </row>
    <row r="109" ht="15.75" customHeight="1">
      <c r="A109" s="4">
        <v>108.0</v>
      </c>
      <c r="B109" s="4" t="s">
        <v>3</v>
      </c>
      <c r="C109" s="4" t="s">
        <v>128</v>
      </c>
      <c r="D109" s="4"/>
      <c r="E109" s="5" t="s">
        <v>11</v>
      </c>
      <c r="F109" s="4"/>
      <c r="G109" s="5"/>
      <c r="H109" s="4"/>
    </row>
    <row r="110" ht="15.75" customHeight="1">
      <c r="A110" s="6">
        <v>109.0</v>
      </c>
      <c r="B110" s="6" t="s">
        <v>4</v>
      </c>
      <c r="C110" s="6" t="s">
        <v>128</v>
      </c>
      <c r="D110" s="6" t="s">
        <v>129</v>
      </c>
      <c r="E110" s="10" t="s">
        <v>11</v>
      </c>
      <c r="F110" s="6"/>
      <c r="G110" s="10"/>
      <c r="H110" s="6"/>
    </row>
    <row r="111" ht="15.75" customHeight="1">
      <c r="A111" s="6">
        <v>110.0</v>
      </c>
      <c r="B111" s="6" t="s">
        <v>4</v>
      </c>
      <c r="C111" s="6" t="s">
        <v>128</v>
      </c>
      <c r="D111" s="6" t="s">
        <v>130</v>
      </c>
      <c r="E111" s="10" t="s">
        <v>11</v>
      </c>
      <c r="F111" s="6"/>
      <c r="G111" s="10"/>
      <c r="H111" s="6"/>
    </row>
    <row r="112" ht="15.75" customHeight="1">
      <c r="A112" s="6">
        <v>111.0</v>
      </c>
      <c r="B112" s="6" t="s">
        <v>4</v>
      </c>
      <c r="C112" s="6" t="s">
        <v>128</v>
      </c>
      <c r="D112" s="6" t="s">
        <v>131</v>
      </c>
      <c r="E112" s="10" t="s">
        <v>11</v>
      </c>
      <c r="F112" s="6"/>
      <c r="G112" s="10"/>
      <c r="H112" s="6"/>
    </row>
    <row r="113" ht="15.75" customHeight="1">
      <c r="A113" s="6">
        <v>112.0</v>
      </c>
      <c r="B113" s="6" t="s">
        <v>4</v>
      </c>
      <c r="C113" s="6" t="s">
        <v>128</v>
      </c>
      <c r="D113" s="6" t="s">
        <v>132</v>
      </c>
      <c r="E113" s="10" t="s">
        <v>11</v>
      </c>
      <c r="F113" s="6"/>
      <c r="G113" s="10"/>
      <c r="H113" s="6"/>
    </row>
    <row r="114" ht="15.75" customHeight="1">
      <c r="A114" s="6">
        <v>113.0</v>
      </c>
      <c r="B114" s="6" t="s">
        <v>4</v>
      </c>
      <c r="C114" s="6" t="s">
        <v>128</v>
      </c>
      <c r="D114" s="6" t="s">
        <v>133</v>
      </c>
      <c r="E114" s="10" t="s">
        <v>11</v>
      </c>
      <c r="F114" s="6"/>
      <c r="G114" s="10"/>
      <c r="H114" s="6"/>
    </row>
    <row r="115" ht="15.75" customHeight="1">
      <c r="A115" s="4">
        <v>114.0</v>
      </c>
      <c r="B115" s="4" t="s">
        <v>3</v>
      </c>
      <c r="C115" s="4" t="s">
        <v>134</v>
      </c>
      <c r="D115" s="4"/>
      <c r="E115" s="5" t="s">
        <v>11</v>
      </c>
      <c r="F115" s="4"/>
      <c r="G115" s="5"/>
      <c r="H115" s="4"/>
    </row>
    <row r="116" ht="15.75" customHeight="1">
      <c r="A116" s="6">
        <v>115.0</v>
      </c>
      <c r="B116" s="6" t="s">
        <v>4</v>
      </c>
      <c r="C116" s="6" t="s">
        <v>134</v>
      </c>
      <c r="D116" s="6" t="s">
        <v>135</v>
      </c>
      <c r="E116" s="10" t="s">
        <v>11</v>
      </c>
      <c r="F116" s="6"/>
      <c r="G116" s="10"/>
      <c r="H116" s="6"/>
    </row>
    <row r="117" ht="15.75" customHeight="1">
      <c r="A117" s="6">
        <v>116.0</v>
      </c>
      <c r="B117" s="6" t="s">
        <v>4</v>
      </c>
      <c r="C117" s="6" t="s">
        <v>134</v>
      </c>
      <c r="D117" s="6" t="s">
        <v>136</v>
      </c>
      <c r="E117" s="10" t="s">
        <v>11</v>
      </c>
      <c r="F117" s="6"/>
      <c r="G117" s="10"/>
      <c r="H117" s="6"/>
    </row>
    <row r="118" ht="15.75" customHeight="1">
      <c r="A118" s="6">
        <v>117.0</v>
      </c>
      <c r="B118" s="6" t="s">
        <v>4</v>
      </c>
      <c r="C118" s="6" t="s">
        <v>134</v>
      </c>
      <c r="D118" s="6" t="s">
        <v>137</v>
      </c>
      <c r="E118" s="10" t="s">
        <v>11</v>
      </c>
      <c r="F118" s="6"/>
      <c r="G118" s="10"/>
      <c r="H118" s="6"/>
    </row>
    <row r="119" ht="15.75" customHeight="1">
      <c r="A119" s="6">
        <v>118.0</v>
      </c>
      <c r="B119" s="6" t="s">
        <v>4</v>
      </c>
      <c r="C119" s="6" t="s">
        <v>134</v>
      </c>
      <c r="D119" s="6" t="s">
        <v>138</v>
      </c>
      <c r="E119" s="10" t="s">
        <v>11</v>
      </c>
      <c r="F119" s="6"/>
      <c r="G119" s="10"/>
      <c r="H119" s="6"/>
    </row>
    <row r="120" ht="15.75" customHeight="1">
      <c r="A120" s="4">
        <v>119.0</v>
      </c>
      <c r="B120" s="4" t="s">
        <v>3</v>
      </c>
      <c r="C120" s="4" t="s">
        <v>139</v>
      </c>
      <c r="D120" s="4"/>
      <c r="E120" s="5" t="s">
        <v>11</v>
      </c>
      <c r="F120" s="4"/>
      <c r="G120" s="5"/>
      <c r="H120" s="4"/>
    </row>
    <row r="121" ht="15.75" customHeight="1">
      <c r="A121" s="6">
        <v>120.0</v>
      </c>
      <c r="B121" s="6" t="s">
        <v>4</v>
      </c>
      <c r="C121" s="6" t="s">
        <v>139</v>
      </c>
      <c r="D121" s="6" t="s">
        <v>140</v>
      </c>
      <c r="E121" s="10" t="s">
        <v>11</v>
      </c>
      <c r="F121" s="6"/>
      <c r="G121" s="10"/>
      <c r="H121" s="6"/>
    </row>
    <row r="122" ht="15.75" customHeight="1">
      <c r="A122" s="6">
        <v>121.0</v>
      </c>
      <c r="B122" s="6" t="s">
        <v>4</v>
      </c>
      <c r="C122" s="6" t="s">
        <v>139</v>
      </c>
      <c r="D122" s="6" t="s">
        <v>141</v>
      </c>
      <c r="E122" s="10" t="s">
        <v>11</v>
      </c>
      <c r="F122" s="6"/>
      <c r="G122" s="10"/>
      <c r="H122" s="6"/>
    </row>
    <row r="123" ht="15.75" customHeight="1">
      <c r="A123" s="4">
        <v>122.0</v>
      </c>
      <c r="B123" s="4" t="s">
        <v>3</v>
      </c>
      <c r="C123" s="4" t="s">
        <v>142</v>
      </c>
      <c r="D123" s="4"/>
      <c r="E123" s="5" t="s">
        <v>11</v>
      </c>
      <c r="F123" s="4"/>
      <c r="G123" s="5"/>
      <c r="H123" s="4"/>
    </row>
    <row r="124" ht="15.75" customHeight="1">
      <c r="A124" s="6">
        <v>123.0</v>
      </c>
      <c r="B124" s="6" t="s">
        <v>4</v>
      </c>
      <c r="C124" s="6" t="s">
        <v>142</v>
      </c>
      <c r="D124" s="6" t="s">
        <v>143</v>
      </c>
      <c r="E124" s="10" t="s">
        <v>11</v>
      </c>
      <c r="F124" s="6"/>
      <c r="G124" s="10"/>
      <c r="H124" s="6"/>
    </row>
    <row r="125" ht="15.75" customHeight="1">
      <c r="A125" s="6">
        <v>124.0</v>
      </c>
      <c r="B125" s="6" t="s">
        <v>4</v>
      </c>
      <c r="C125" s="6" t="s">
        <v>142</v>
      </c>
      <c r="D125" s="6" t="s">
        <v>144</v>
      </c>
      <c r="E125" s="10" t="s">
        <v>11</v>
      </c>
      <c r="F125" s="6"/>
      <c r="G125" s="10"/>
      <c r="H125" s="6"/>
    </row>
    <row r="126" ht="15.75" customHeight="1">
      <c r="A126" s="4">
        <v>125.0</v>
      </c>
      <c r="B126" s="4" t="s">
        <v>3</v>
      </c>
      <c r="C126" s="4" t="s">
        <v>145</v>
      </c>
      <c r="D126" s="4"/>
      <c r="E126" s="5" t="s">
        <v>11</v>
      </c>
      <c r="F126" s="4"/>
      <c r="G126" s="5"/>
      <c r="H126" s="4"/>
    </row>
    <row r="127" ht="15.75" customHeight="1">
      <c r="A127" s="6">
        <v>126.0</v>
      </c>
      <c r="B127" s="6" t="s">
        <v>4</v>
      </c>
      <c r="C127" s="6" t="s">
        <v>145</v>
      </c>
      <c r="D127" s="6" t="s">
        <v>146</v>
      </c>
      <c r="E127" s="10" t="s">
        <v>11</v>
      </c>
      <c r="F127" s="6"/>
      <c r="G127" s="10"/>
      <c r="H127" s="6"/>
    </row>
    <row r="128" ht="15.75" customHeight="1">
      <c r="A128" s="6">
        <v>127.0</v>
      </c>
      <c r="B128" s="6" t="s">
        <v>4</v>
      </c>
      <c r="C128" s="6" t="s">
        <v>145</v>
      </c>
      <c r="D128" s="6" t="s">
        <v>147</v>
      </c>
      <c r="E128" s="10" t="s">
        <v>11</v>
      </c>
      <c r="F128" s="6"/>
      <c r="G128" s="10"/>
      <c r="H128" s="6"/>
    </row>
    <row r="129" ht="15.75" customHeight="1">
      <c r="A129" s="6">
        <v>128.0</v>
      </c>
      <c r="B129" s="6" t="s">
        <v>4</v>
      </c>
      <c r="C129" s="6" t="s">
        <v>145</v>
      </c>
      <c r="D129" s="6" t="s">
        <v>148</v>
      </c>
      <c r="E129" s="10" t="s">
        <v>11</v>
      </c>
      <c r="F129" s="6"/>
      <c r="G129" s="10"/>
      <c r="H129" s="6"/>
    </row>
    <row r="130" ht="15.75" customHeight="1">
      <c r="A130" s="6">
        <v>129.0</v>
      </c>
      <c r="B130" s="6" t="s">
        <v>4</v>
      </c>
      <c r="C130" s="6" t="s">
        <v>145</v>
      </c>
      <c r="D130" s="6" t="s">
        <v>149</v>
      </c>
      <c r="E130" s="10" t="s">
        <v>11</v>
      </c>
      <c r="F130" s="6"/>
      <c r="G130" s="10"/>
      <c r="H130" s="6"/>
    </row>
    <row r="131" ht="15.75" customHeight="1">
      <c r="A131" s="6">
        <v>130.0</v>
      </c>
      <c r="B131" s="6" t="s">
        <v>4</v>
      </c>
      <c r="C131" s="6" t="s">
        <v>145</v>
      </c>
      <c r="D131" s="6" t="s">
        <v>150</v>
      </c>
      <c r="E131" s="10" t="s">
        <v>11</v>
      </c>
      <c r="F131" s="6"/>
      <c r="G131" s="10"/>
      <c r="H131" s="6"/>
    </row>
    <row r="132" ht="15.75" customHeight="1">
      <c r="A132" s="6">
        <v>131.0</v>
      </c>
      <c r="B132" s="6" t="s">
        <v>4</v>
      </c>
      <c r="C132" s="6" t="s">
        <v>145</v>
      </c>
      <c r="D132" s="6" t="s">
        <v>151</v>
      </c>
      <c r="E132" s="10" t="s">
        <v>11</v>
      </c>
      <c r="F132" s="6"/>
      <c r="G132" s="10"/>
      <c r="H132" s="6"/>
    </row>
    <row r="133" ht="15.75" customHeight="1">
      <c r="A133" s="6">
        <v>132.0</v>
      </c>
      <c r="B133" s="6" t="s">
        <v>4</v>
      </c>
      <c r="C133" s="6" t="s">
        <v>145</v>
      </c>
      <c r="D133" s="6" t="s">
        <v>152</v>
      </c>
      <c r="E133" s="10" t="s">
        <v>11</v>
      </c>
      <c r="F133" s="6"/>
      <c r="G133" s="10"/>
      <c r="H133" s="6"/>
    </row>
    <row r="134" ht="15.75" customHeight="1">
      <c r="A134" s="6">
        <v>133.0</v>
      </c>
      <c r="B134" s="6" t="s">
        <v>4</v>
      </c>
      <c r="C134" s="6" t="s">
        <v>145</v>
      </c>
      <c r="D134" s="6" t="s">
        <v>153</v>
      </c>
      <c r="E134" s="10" t="s">
        <v>11</v>
      </c>
      <c r="F134" s="6"/>
      <c r="G134" s="10"/>
      <c r="H134" s="6"/>
    </row>
    <row r="135" ht="15.75" customHeight="1">
      <c r="A135" s="6">
        <v>134.0</v>
      </c>
      <c r="B135" s="6" t="s">
        <v>4</v>
      </c>
      <c r="C135" s="6" t="s">
        <v>145</v>
      </c>
      <c r="D135" s="6" t="s">
        <v>154</v>
      </c>
      <c r="E135" s="10" t="s">
        <v>11</v>
      </c>
      <c r="F135" s="6"/>
      <c r="G135" s="10"/>
      <c r="H135" s="6"/>
    </row>
    <row r="136" ht="15.75" customHeight="1">
      <c r="A136" s="4">
        <v>135.0</v>
      </c>
      <c r="B136" s="4" t="s">
        <v>3</v>
      </c>
      <c r="C136" s="4" t="s">
        <v>155</v>
      </c>
      <c r="D136" s="4"/>
      <c r="E136" s="5" t="s">
        <v>11</v>
      </c>
      <c r="F136" s="4"/>
      <c r="G136" s="5"/>
      <c r="H136" s="4"/>
    </row>
    <row r="137" ht="15.75" customHeight="1">
      <c r="A137" s="6">
        <v>136.0</v>
      </c>
      <c r="B137" s="6" t="s">
        <v>4</v>
      </c>
      <c r="C137" s="6" t="s">
        <v>155</v>
      </c>
      <c r="D137" s="6" t="s">
        <v>156</v>
      </c>
      <c r="E137" s="10" t="s">
        <v>11</v>
      </c>
      <c r="F137" s="6"/>
      <c r="G137" s="10"/>
      <c r="H137" s="6"/>
    </row>
    <row r="138" ht="15.75" customHeight="1">
      <c r="A138" s="6">
        <v>137.0</v>
      </c>
      <c r="B138" s="6" t="s">
        <v>4</v>
      </c>
      <c r="C138" s="6" t="s">
        <v>155</v>
      </c>
      <c r="D138" s="6" t="s">
        <v>157</v>
      </c>
      <c r="E138" s="10" t="s">
        <v>11</v>
      </c>
      <c r="F138" s="6"/>
      <c r="G138" s="10"/>
      <c r="H138" s="6"/>
    </row>
    <row r="139" ht="15.75" customHeight="1">
      <c r="A139" s="6">
        <v>138.0</v>
      </c>
      <c r="B139" s="6" t="s">
        <v>4</v>
      </c>
      <c r="C139" s="6" t="s">
        <v>155</v>
      </c>
      <c r="D139" s="6" t="s">
        <v>158</v>
      </c>
      <c r="E139" s="10" t="s">
        <v>11</v>
      </c>
      <c r="F139" s="6"/>
      <c r="G139" s="10"/>
      <c r="H139" s="6"/>
    </row>
    <row r="140" ht="15.75" customHeight="1">
      <c r="A140" s="6">
        <v>139.0</v>
      </c>
      <c r="B140" s="6" t="s">
        <v>4</v>
      </c>
      <c r="C140" s="6" t="s">
        <v>155</v>
      </c>
      <c r="D140" s="6" t="s">
        <v>159</v>
      </c>
      <c r="E140" s="10" t="s">
        <v>11</v>
      </c>
      <c r="F140" s="6"/>
      <c r="G140" s="10"/>
      <c r="H140" s="6"/>
    </row>
    <row r="141" ht="15.75" customHeight="1">
      <c r="A141" s="6">
        <v>140.0</v>
      </c>
      <c r="B141" s="6" t="s">
        <v>4</v>
      </c>
      <c r="C141" s="6" t="s">
        <v>155</v>
      </c>
      <c r="D141" s="6" t="s">
        <v>160</v>
      </c>
      <c r="E141" s="10" t="s">
        <v>11</v>
      </c>
      <c r="F141" s="6"/>
      <c r="G141" s="10"/>
      <c r="H141" s="6"/>
    </row>
    <row r="142" ht="15.75" customHeight="1">
      <c r="A142" s="6">
        <v>141.0</v>
      </c>
      <c r="B142" s="6" t="s">
        <v>4</v>
      </c>
      <c r="C142" s="6" t="s">
        <v>155</v>
      </c>
      <c r="D142" s="6" t="s">
        <v>161</v>
      </c>
      <c r="E142" s="10" t="s">
        <v>11</v>
      </c>
      <c r="F142" s="6"/>
      <c r="G142" s="10"/>
      <c r="H142" s="6"/>
    </row>
    <row r="143" ht="15.75" customHeight="1">
      <c r="A143" s="6">
        <v>142.0</v>
      </c>
      <c r="B143" s="6" t="s">
        <v>4</v>
      </c>
      <c r="C143" s="6" t="s">
        <v>155</v>
      </c>
      <c r="D143" s="6" t="s">
        <v>162</v>
      </c>
      <c r="E143" s="10" t="s">
        <v>11</v>
      </c>
      <c r="F143" s="6"/>
      <c r="G143" s="10"/>
      <c r="H143" s="6"/>
    </row>
    <row r="144" ht="15.75" customHeight="1">
      <c r="A144" s="6">
        <v>143.0</v>
      </c>
      <c r="B144" s="6" t="s">
        <v>4</v>
      </c>
      <c r="C144" s="6" t="s">
        <v>155</v>
      </c>
      <c r="D144" s="6" t="s">
        <v>163</v>
      </c>
      <c r="E144" s="10" t="s">
        <v>11</v>
      </c>
      <c r="F144" s="6"/>
      <c r="G144" s="10"/>
      <c r="H144" s="6"/>
    </row>
    <row r="145" ht="15.75" customHeight="1">
      <c r="A145" s="4">
        <v>144.0</v>
      </c>
      <c r="B145" s="4" t="s">
        <v>3</v>
      </c>
      <c r="C145" s="4" t="s">
        <v>164</v>
      </c>
      <c r="D145" s="4"/>
      <c r="E145" s="5" t="s">
        <v>11</v>
      </c>
      <c r="F145" s="4"/>
      <c r="G145" s="5"/>
      <c r="H145" s="4"/>
    </row>
    <row r="146" ht="15.75" customHeight="1">
      <c r="A146" s="6">
        <v>145.0</v>
      </c>
      <c r="B146" s="6" t="s">
        <v>4</v>
      </c>
      <c r="C146" s="6" t="s">
        <v>164</v>
      </c>
      <c r="D146" s="6" t="s">
        <v>165</v>
      </c>
      <c r="E146" s="10" t="s">
        <v>11</v>
      </c>
      <c r="F146" s="6"/>
      <c r="G146" s="10"/>
      <c r="H146" s="6"/>
    </row>
    <row r="147" ht="15.75" customHeight="1">
      <c r="A147" s="6">
        <v>146.0</v>
      </c>
      <c r="B147" s="6" t="s">
        <v>4</v>
      </c>
      <c r="C147" s="6" t="s">
        <v>164</v>
      </c>
      <c r="D147" s="6" t="s">
        <v>166</v>
      </c>
      <c r="E147" s="10" t="s">
        <v>11</v>
      </c>
      <c r="F147" s="6"/>
      <c r="G147" s="10"/>
      <c r="H147" s="6"/>
    </row>
    <row r="148" ht="15.75" customHeight="1">
      <c r="A148" s="6">
        <v>147.0</v>
      </c>
      <c r="B148" s="6" t="s">
        <v>4</v>
      </c>
      <c r="C148" s="6" t="s">
        <v>164</v>
      </c>
      <c r="D148" s="6" t="s">
        <v>167</v>
      </c>
      <c r="E148" s="10" t="s">
        <v>11</v>
      </c>
      <c r="F148" s="6"/>
      <c r="G148" s="10"/>
      <c r="H148" s="6"/>
    </row>
    <row r="149" ht="15.75" customHeight="1">
      <c r="A149" s="6">
        <v>148.0</v>
      </c>
      <c r="B149" s="6" t="s">
        <v>4</v>
      </c>
      <c r="C149" s="6" t="s">
        <v>164</v>
      </c>
      <c r="D149" s="6" t="s">
        <v>168</v>
      </c>
      <c r="E149" s="10" t="s">
        <v>11</v>
      </c>
      <c r="F149" s="6"/>
      <c r="G149" s="10"/>
      <c r="H149" s="6"/>
    </row>
    <row r="150" ht="15.75" customHeight="1">
      <c r="A150" s="6">
        <v>149.0</v>
      </c>
      <c r="B150" s="6" t="s">
        <v>4</v>
      </c>
      <c r="C150" s="6" t="s">
        <v>164</v>
      </c>
      <c r="D150" s="6" t="s">
        <v>169</v>
      </c>
      <c r="E150" s="10" t="s">
        <v>11</v>
      </c>
      <c r="F150" s="6"/>
      <c r="G150" s="10"/>
      <c r="H150" s="6"/>
    </row>
    <row r="151" ht="15.75" customHeight="1">
      <c r="A151" s="6">
        <v>150.0</v>
      </c>
      <c r="B151" s="6" t="s">
        <v>4</v>
      </c>
      <c r="C151" s="6" t="s">
        <v>164</v>
      </c>
      <c r="D151" s="6" t="s">
        <v>170</v>
      </c>
      <c r="E151" s="10" t="s">
        <v>11</v>
      </c>
      <c r="F151" s="6"/>
      <c r="G151" s="10"/>
      <c r="H151" s="6"/>
    </row>
    <row r="152" ht="15.75" customHeight="1">
      <c r="A152" s="4">
        <v>151.0</v>
      </c>
      <c r="B152" s="4" t="s">
        <v>3</v>
      </c>
      <c r="C152" s="4" t="s">
        <v>171</v>
      </c>
      <c r="D152" s="4"/>
      <c r="E152" s="5" t="s">
        <v>11</v>
      </c>
      <c r="F152" s="4"/>
      <c r="G152" s="5"/>
      <c r="H152" s="4"/>
    </row>
    <row r="153" ht="15.75" customHeight="1">
      <c r="A153" s="6">
        <v>152.0</v>
      </c>
      <c r="B153" s="6" t="s">
        <v>4</v>
      </c>
      <c r="C153" s="6" t="s">
        <v>171</v>
      </c>
      <c r="D153" s="6" t="s">
        <v>172</v>
      </c>
      <c r="E153" s="10" t="s">
        <v>11</v>
      </c>
      <c r="F153" s="6"/>
      <c r="G153" s="10"/>
      <c r="H153" s="6"/>
    </row>
    <row r="154" ht="15.75" customHeight="1">
      <c r="A154" s="6">
        <v>153.0</v>
      </c>
      <c r="B154" s="6" t="s">
        <v>4</v>
      </c>
      <c r="C154" s="6" t="s">
        <v>171</v>
      </c>
      <c r="D154" s="6" t="s">
        <v>173</v>
      </c>
      <c r="E154" s="10" t="s">
        <v>11</v>
      </c>
      <c r="F154" s="6"/>
      <c r="G154" s="10"/>
      <c r="H154" s="6"/>
    </row>
    <row r="155" ht="15.75" customHeight="1">
      <c r="A155" s="6">
        <v>154.0</v>
      </c>
      <c r="B155" s="6" t="s">
        <v>4</v>
      </c>
      <c r="C155" s="6" t="s">
        <v>171</v>
      </c>
      <c r="D155" s="6" t="s">
        <v>174</v>
      </c>
      <c r="E155" s="10" t="s">
        <v>11</v>
      </c>
      <c r="F155" s="6"/>
      <c r="G155" s="10"/>
      <c r="H155" s="6"/>
    </row>
    <row r="156" ht="15.75" customHeight="1">
      <c r="A156" s="6">
        <v>155.0</v>
      </c>
      <c r="B156" s="6" t="s">
        <v>4</v>
      </c>
      <c r="C156" s="6" t="s">
        <v>171</v>
      </c>
      <c r="D156" s="6" t="s">
        <v>175</v>
      </c>
      <c r="E156" s="10" t="s">
        <v>11</v>
      </c>
      <c r="F156" s="6"/>
      <c r="G156" s="10"/>
      <c r="H156" s="6"/>
    </row>
    <row r="157" ht="15.75" customHeight="1">
      <c r="A157" s="6">
        <v>156.0</v>
      </c>
      <c r="B157" s="6" t="s">
        <v>4</v>
      </c>
      <c r="C157" s="6" t="s">
        <v>171</v>
      </c>
      <c r="D157" s="6" t="s">
        <v>76</v>
      </c>
      <c r="E157" s="10" t="s">
        <v>11</v>
      </c>
      <c r="F157" s="6"/>
      <c r="G157" s="10"/>
      <c r="H157" s="6"/>
    </row>
    <row r="158" ht="15.75" customHeight="1">
      <c r="A158" s="6">
        <v>157.0</v>
      </c>
      <c r="B158" s="6" t="s">
        <v>4</v>
      </c>
      <c r="C158" s="6" t="s">
        <v>171</v>
      </c>
      <c r="D158" s="6" t="s">
        <v>176</v>
      </c>
      <c r="E158" s="10" t="s">
        <v>11</v>
      </c>
      <c r="F158" s="6"/>
      <c r="G158" s="10"/>
      <c r="H158" s="6"/>
    </row>
    <row r="159" ht="15.75" customHeight="1">
      <c r="A159" s="6">
        <v>158.0</v>
      </c>
      <c r="B159" s="6" t="s">
        <v>4</v>
      </c>
      <c r="C159" s="6" t="s">
        <v>171</v>
      </c>
      <c r="D159" s="6" t="s">
        <v>177</v>
      </c>
      <c r="E159" s="10" t="s">
        <v>11</v>
      </c>
      <c r="F159" s="6"/>
      <c r="G159" s="10"/>
      <c r="H159" s="6"/>
    </row>
  </sheetData>
  <autoFilter ref="$A$1:$H$159"/>
  <conditionalFormatting sqref="E2:E159">
    <cfRule type="cellIs" dxfId="0" priority="1" operator="equal">
      <formula>"ANO"</formula>
    </cfRule>
  </conditionalFormatting>
  <conditionalFormatting sqref="E2:E159">
    <cfRule type="cellIs" dxfId="1" priority="2" operator="equal">
      <formula>"NE"</formula>
    </cfRule>
  </conditionalFormatting>
  <conditionalFormatting sqref="G2:G159">
    <cfRule type="cellIs" dxfId="0" priority="3" operator="equal">
      <formula>"ANO"</formula>
    </cfRule>
  </conditionalFormatting>
  <conditionalFormatting sqref="G2:G159">
    <cfRule type="cellIs" dxfId="1" priority="4" operator="equal">
      <formula>"NE"</formula>
    </cfRule>
  </conditionalFormatting>
  <dataValidations>
    <dataValidation type="list" allowBlank="1" sqref="E2:E159 G2:G159">
      <formula1>"ANO,NE"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4" width="12.0"/>
    <col customWidth="1" min="5" max="26" width="8.71"/>
  </cols>
  <sheetData>
    <row r="1">
      <c r="A1" s="2" t="s">
        <v>1</v>
      </c>
    </row>
    <row r="3">
      <c r="A3" s="3" t="s">
        <v>5</v>
      </c>
      <c r="B3" s="7">
        <f>COUNTA('Evidence textací'!A2:A159)</f>
        <v>158</v>
      </c>
    </row>
    <row r="4">
      <c r="A4" s="3" t="s">
        <v>14</v>
      </c>
      <c r="B4" s="7">
        <f>COUNTIF('Evidence textací'!E2:E159,"ANO")</f>
        <v>24</v>
      </c>
    </row>
    <row r="5">
      <c r="A5" s="3" t="s">
        <v>16</v>
      </c>
      <c r="B5" s="7">
        <f>COUNTIF('Evidence textací'!E2:E159,"NE")</f>
        <v>134</v>
      </c>
    </row>
    <row r="6">
      <c r="A6" s="3" t="s">
        <v>19</v>
      </c>
      <c r="B6" s="11">
        <f>IF(B3=0,0,B4/B3)</f>
        <v>0.1518987342</v>
      </c>
    </row>
    <row r="8">
      <c r="A8" s="3" t="s">
        <v>22</v>
      </c>
    </row>
    <row r="9">
      <c r="A9" s="12" t="s">
        <v>2</v>
      </c>
      <c r="B9" s="12" t="s">
        <v>24</v>
      </c>
      <c r="C9" s="12" t="s">
        <v>6</v>
      </c>
      <c r="D9" s="12" t="s">
        <v>19</v>
      </c>
    </row>
    <row r="10">
      <c r="A10" s="7" t="s">
        <v>3</v>
      </c>
      <c r="B10" s="7">
        <f>COUNTIF('Evidence textací'!B2:B159,A10)</f>
        <v>21</v>
      </c>
      <c r="C10" s="7">
        <f>COUNTIFS('Evidence textací'!B2:B159,A10,'Evidence textací'!E2:E159,"ANO")</f>
        <v>3</v>
      </c>
      <c r="D10" s="11">
        <f t="shared" ref="D10:D11" si="1">IF(B10=0,0,C10/B10)</f>
        <v>0.1428571429</v>
      </c>
    </row>
    <row r="11">
      <c r="A11" s="7" t="s">
        <v>4</v>
      </c>
      <c r="B11" s="7">
        <f>COUNTIF('Evidence textací'!B2:B159,A11)</f>
        <v>137</v>
      </c>
      <c r="C11" s="7">
        <f>COUNTIFS('Evidence textací'!B2:B159,A11,'Evidence textací'!E2:E159,"ANO")</f>
        <v>21</v>
      </c>
      <c r="D11" s="11">
        <f t="shared" si="1"/>
        <v>0.1532846715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